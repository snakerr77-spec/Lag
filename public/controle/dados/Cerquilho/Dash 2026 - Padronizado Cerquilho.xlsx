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ag Controller\Downloads\"/>
    </mc:Choice>
  </mc:AlternateContent>
  <xr:revisionPtr revIDLastSave="0" documentId="13_ncr:1_{1923FE87-AB4D-4597-95F9-E6362658DD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6" i="12" l="1"/>
  <c r="B66" i="12"/>
  <c r="C66" i="12"/>
  <c r="K66" i="12"/>
  <c r="J66" i="12"/>
  <c r="H66" i="12"/>
  <c r="E66" i="12"/>
  <c r="D66" i="12"/>
  <c r="F63" i="12"/>
  <c r="H63" i="12" s="1"/>
  <c r="B49" i="12" l="1"/>
  <c r="F47" i="12"/>
  <c r="H47" i="12" s="1"/>
  <c r="C68" i="12"/>
  <c r="B68" i="12"/>
  <c r="B76" i="12"/>
  <c r="J35" i="12"/>
  <c r="J42" i="12"/>
  <c r="J14" i="12"/>
  <c r="J19" i="12"/>
  <c r="J27" i="12"/>
  <c r="F68" i="12" l="1"/>
  <c r="F44" i="12"/>
  <c r="F75" i="12"/>
  <c r="H75" i="12" s="1"/>
  <c r="E12" i="12" l="1"/>
  <c r="E13" i="12"/>
  <c r="J69" i="12"/>
  <c r="F80" i="12"/>
  <c r="H80" i="12" s="1"/>
  <c r="F81" i="12"/>
  <c r="H81" i="12" s="1"/>
  <c r="F82" i="12"/>
  <c r="H82" i="12" s="1"/>
  <c r="F83" i="12"/>
  <c r="H83" i="12" s="1"/>
  <c r="F84" i="12"/>
  <c r="H84" i="12" s="1"/>
  <c r="F85" i="12"/>
  <c r="H85" i="12" s="1"/>
  <c r="F86" i="12"/>
  <c r="H86" i="12" s="1"/>
  <c r="F87" i="12"/>
  <c r="H87" i="12" s="1"/>
  <c r="F88" i="12"/>
  <c r="H88" i="12" s="1"/>
  <c r="F89" i="12"/>
  <c r="H89" i="12" s="1"/>
  <c r="F90" i="12"/>
  <c r="H90" i="12" s="1"/>
  <c r="F91" i="12"/>
  <c r="H91" i="12" s="1"/>
  <c r="F92" i="12"/>
  <c r="H92" i="12" s="1"/>
  <c r="F93" i="12"/>
  <c r="H93" i="12" s="1"/>
  <c r="F94" i="12"/>
  <c r="H94" i="12" s="1"/>
  <c r="F95" i="12"/>
  <c r="H95" i="12" s="1"/>
  <c r="F96" i="12"/>
  <c r="H96" i="12" s="1"/>
  <c r="F97" i="12"/>
  <c r="H97" i="12" s="1"/>
  <c r="F98" i="12"/>
  <c r="H98" i="12" s="1"/>
  <c r="F99" i="12"/>
  <c r="H99" i="12" s="1"/>
  <c r="F100" i="12"/>
  <c r="H100" i="12" s="1"/>
  <c r="F79" i="12"/>
  <c r="H79" i="12" s="1"/>
  <c r="K77" i="12"/>
  <c r="J77" i="12"/>
  <c r="D77" i="12"/>
  <c r="C77" i="12"/>
  <c r="B77" i="12"/>
  <c r="F76" i="12"/>
  <c r="F77" i="12" s="1"/>
  <c r="K73" i="12"/>
  <c r="J73" i="12"/>
  <c r="D73" i="12"/>
  <c r="C73" i="12"/>
  <c r="B73" i="12"/>
  <c r="F72" i="12"/>
  <c r="H72" i="12" s="1"/>
  <c r="F71" i="12"/>
  <c r="H71" i="12" s="1"/>
  <c r="K69" i="12"/>
  <c r="D69" i="12"/>
  <c r="C69" i="12"/>
  <c r="B69" i="12"/>
  <c r="H68" i="12"/>
  <c r="H69" i="12" s="1"/>
  <c r="F65" i="12"/>
  <c r="H65" i="12" s="1"/>
  <c r="F64" i="12"/>
  <c r="H64" i="12" s="1"/>
  <c r="F62" i="12"/>
  <c r="H62" i="12" s="1"/>
  <c r="F61" i="12"/>
  <c r="H61" i="12" s="1"/>
  <c r="F60" i="12"/>
  <c r="H60" i="12" s="1"/>
  <c r="F59" i="12"/>
  <c r="H59" i="12" s="1"/>
  <c r="F58" i="12"/>
  <c r="H58" i="12" s="1"/>
  <c r="K56" i="12"/>
  <c r="J56" i="12"/>
  <c r="E56" i="12"/>
  <c r="D56" i="12"/>
  <c r="C56" i="12"/>
  <c r="B56" i="12"/>
  <c r="F55" i="12"/>
  <c r="H55" i="12" s="1"/>
  <c r="F54" i="12"/>
  <c r="H54" i="12" s="1"/>
  <c r="F53" i="12"/>
  <c r="H53" i="12" s="1"/>
  <c r="F52" i="12"/>
  <c r="H52" i="12" s="1"/>
  <c r="F51" i="12"/>
  <c r="H51" i="12" s="1"/>
  <c r="K49" i="12"/>
  <c r="J49" i="12"/>
  <c r="E49" i="12"/>
  <c r="D49" i="12"/>
  <c r="C49" i="12"/>
  <c r="F48" i="12"/>
  <c r="H48" i="12" s="1"/>
  <c r="F46" i="12"/>
  <c r="H46" i="12" s="1"/>
  <c r="F45" i="12"/>
  <c r="H45" i="12" s="1"/>
  <c r="F43" i="12"/>
  <c r="I42" i="12"/>
  <c r="I102" i="12" s="1"/>
  <c r="C42" i="12"/>
  <c r="B42" i="12"/>
  <c r="F41" i="12"/>
  <c r="H41" i="12" s="1"/>
  <c r="F40" i="12"/>
  <c r="H40" i="12" s="1"/>
  <c r="J38" i="12"/>
  <c r="E38" i="12"/>
  <c r="D38" i="12"/>
  <c r="C38" i="12"/>
  <c r="B38" i="12"/>
  <c r="H37" i="12"/>
  <c r="H38" i="12" s="1"/>
  <c r="F37" i="12"/>
  <c r="E35" i="12"/>
  <c r="E42" i="12" s="1"/>
  <c r="D35" i="12"/>
  <c r="C35" i="12"/>
  <c r="B35" i="12"/>
  <c r="H34" i="12"/>
  <c r="F34" i="12"/>
  <c r="H33" i="12"/>
  <c r="F33" i="12"/>
  <c r="H32" i="12"/>
  <c r="F32" i="12"/>
  <c r="H31" i="12"/>
  <c r="F31" i="12"/>
  <c r="H30" i="12"/>
  <c r="F30" i="12"/>
  <c r="H28" i="12"/>
  <c r="F28" i="12"/>
  <c r="K27" i="12"/>
  <c r="C27" i="12"/>
  <c r="B27" i="12"/>
  <c r="F26" i="12"/>
  <c r="H26" i="12" s="1"/>
  <c r="F25" i="12"/>
  <c r="H25" i="12" s="1"/>
  <c r="F24" i="12"/>
  <c r="H24" i="12" s="1"/>
  <c r="F23" i="12"/>
  <c r="H23" i="12" s="1"/>
  <c r="F22" i="12"/>
  <c r="H22" i="12" s="1"/>
  <c r="F21" i="12"/>
  <c r="H21" i="12" s="1"/>
  <c r="K19" i="12"/>
  <c r="E19" i="12"/>
  <c r="E27" i="12" s="1"/>
  <c r="D19" i="12"/>
  <c r="D27" i="12" s="1"/>
  <c r="C19" i="12"/>
  <c r="B19" i="12"/>
  <c r="F18" i="12"/>
  <c r="H18" i="12" s="1"/>
  <c r="F17" i="12"/>
  <c r="H17" i="12" s="1"/>
  <c r="F16" i="12"/>
  <c r="H16" i="12" s="1"/>
  <c r="K14" i="12"/>
  <c r="E14" i="12"/>
  <c r="D14" i="12"/>
  <c r="C14" i="12"/>
  <c r="B14" i="12"/>
  <c r="F13" i="12"/>
  <c r="H13" i="12" s="1"/>
  <c r="H14" i="12" s="1"/>
  <c r="H12" i="12"/>
  <c r="F12" i="12"/>
  <c r="H10" i="12"/>
  <c r="F10" i="12"/>
  <c r="H8" i="12"/>
  <c r="H7" i="12"/>
  <c r="F7" i="12"/>
  <c r="H6" i="12"/>
  <c r="F6" i="12"/>
  <c r="H5" i="12"/>
  <c r="F5" i="12"/>
  <c r="H4" i="12"/>
  <c r="F4" i="12"/>
  <c r="H3" i="12"/>
  <c r="H2" i="12"/>
  <c r="H35" i="12" l="1"/>
  <c r="H27" i="12"/>
  <c r="H19" i="12"/>
  <c r="H73" i="12"/>
  <c r="D42" i="12"/>
  <c r="F14" i="12"/>
  <c r="F49" i="12"/>
  <c r="H76" i="12"/>
  <c r="H77" i="12" s="1"/>
  <c r="F35" i="12"/>
  <c r="H44" i="12"/>
  <c r="F69" i="12"/>
  <c r="F38" i="12"/>
  <c r="F27" i="12"/>
  <c r="F19" i="12"/>
  <c r="F56" i="12"/>
  <c r="H56" i="12"/>
  <c r="H42" i="12"/>
  <c r="F73" i="12"/>
  <c r="F42" i="12"/>
  <c r="H43" i="12" s="1"/>
  <c r="H49" i="12" l="1"/>
</calcChain>
</file>

<file path=xl/sharedStrings.xml><?xml version="1.0" encoding="utf-8"?>
<sst xmlns="http://schemas.openxmlformats.org/spreadsheetml/2006/main" count="391" uniqueCount="141">
  <si>
    <t>Profissional</t>
  </si>
  <si>
    <t>Faturamento</t>
  </si>
  <si>
    <t>Pagamento</t>
  </si>
  <si>
    <t>Aj. De Custo</t>
  </si>
  <si>
    <t xml:space="preserve">Insumos </t>
  </si>
  <si>
    <t>Lucro Final</t>
  </si>
  <si>
    <t>Garantia</t>
  </si>
  <si>
    <t>Porcentagem</t>
  </si>
  <si>
    <t>Consultas</t>
  </si>
  <si>
    <t>Procedimentos</t>
  </si>
  <si>
    <t>Agendas</t>
  </si>
  <si>
    <t>Especialidade</t>
  </si>
  <si>
    <t>Adib Habid</t>
  </si>
  <si>
    <t>Cardiologia</t>
  </si>
  <si>
    <t>Amanda</t>
  </si>
  <si>
    <t xml:space="preserve">Oftalmologia </t>
  </si>
  <si>
    <t>Parceria - Alus Broncoscopia</t>
  </si>
  <si>
    <t>Broncoscopia</t>
  </si>
  <si>
    <t>Parceria - CAF Impedânciometria</t>
  </si>
  <si>
    <t xml:space="preserve"> Impedânciometria</t>
  </si>
  <si>
    <t>Parceria - Digest Retossignoidescopia</t>
  </si>
  <si>
    <t>Retossignoidescopia</t>
  </si>
  <si>
    <t xml:space="preserve">Pietro Marques </t>
  </si>
  <si>
    <t>Neurologista</t>
  </si>
  <si>
    <t>Laboratório DB</t>
  </si>
  <si>
    <t xml:space="preserve">Exames de Laboratorio </t>
  </si>
  <si>
    <t xml:space="preserve">Pagamento integral na Clinica </t>
  </si>
  <si>
    <t>Dr. Zeneide</t>
  </si>
  <si>
    <t>Radiografia</t>
  </si>
  <si>
    <t>PROCEDIMENTOS</t>
  </si>
  <si>
    <t xml:space="preserve">Dr. Yuri </t>
  </si>
  <si>
    <t>Escleroterapia c/espuma</t>
  </si>
  <si>
    <t>Escleroterapia c/safena</t>
  </si>
  <si>
    <t>Total Procedimentos - Dr Yuri</t>
  </si>
  <si>
    <t xml:space="preserve">EXAME DE ULTRASSOM </t>
  </si>
  <si>
    <t>Dra. Ithana</t>
  </si>
  <si>
    <t>Modo B</t>
  </si>
  <si>
    <t>Abdome superior</t>
  </si>
  <si>
    <t>Doppler Tireode ou Escrotal</t>
  </si>
  <si>
    <t>Doppler Arterial</t>
  </si>
  <si>
    <t>Doppler Venoso</t>
  </si>
  <si>
    <t>Doppler Carótidas e Vértebras</t>
  </si>
  <si>
    <t>Total Ultrassom - Dr Yuri</t>
  </si>
  <si>
    <t>Dr. Matheus - USG</t>
  </si>
  <si>
    <t>Abdome Total</t>
  </si>
  <si>
    <t>Abdome Total Particular</t>
  </si>
  <si>
    <t>Orgãos e estruturas</t>
  </si>
  <si>
    <t>Total Ultrassom - Dr Matheus</t>
  </si>
  <si>
    <t>Vascular/USG</t>
  </si>
  <si>
    <t xml:space="preserve">EXAME DE CARDIOLOGIA </t>
  </si>
  <si>
    <t>Dr. Yanquell</t>
  </si>
  <si>
    <t>0</t>
  </si>
  <si>
    <t xml:space="preserve">Eletrocargiograma </t>
  </si>
  <si>
    <t>Holter</t>
  </si>
  <si>
    <t>Mapa</t>
  </si>
  <si>
    <t>Teste ergometrico</t>
  </si>
  <si>
    <t>Ecocardiograma</t>
  </si>
  <si>
    <t>Total de Exames de Cardio</t>
  </si>
  <si>
    <t>PROCEDIMENTO MEDICO DA Familia</t>
  </si>
  <si>
    <t>Dr. Pedro</t>
  </si>
  <si>
    <t xml:space="preserve">Cerumen </t>
  </si>
  <si>
    <t xml:space="preserve">EXAME DE OFTAMOLOGIA </t>
  </si>
  <si>
    <t>Dra. Lisa</t>
  </si>
  <si>
    <t>Tonometria</t>
  </si>
  <si>
    <t>Mapeamento de Retina</t>
  </si>
  <si>
    <t>Total de Exames - Dra Lisa</t>
  </si>
  <si>
    <t>Dr. Marcos</t>
  </si>
  <si>
    <t>Curva Tensional Diaria</t>
  </si>
  <si>
    <t>Retinografia</t>
  </si>
  <si>
    <t>Topografia</t>
  </si>
  <si>
    <t>Total de Exames - Dr Marcos</t>
  </si>
  <si>
    <t xml:space="preserve">PROCEDIMENTO DERMATOLOGIA </t>
  </si>
  <si>
    <t>Dra. Larissa</t>
  </si>
  <si>
    <t>Dermatologia - Grau 1</t>
  </si>
  <si>
    <t>Dermatologia - Grau 2</t>
  </si>
  <si>
    <t>Dermatologia - Grau 3</t>
  </si>
  <si>
    <t>Dermatologia - Grau 4</t>
  </si>
  <si>
    <t>Total de Proc. - Dra Larissa</t>
  </si>
  <si>
    <t>PROCEDIMENTO NEUROLOGISTA</t>
  </si>
  <si>
    <t xml:space="preserve">Dr. Lucas/Dra. Ingrid </t>
  </si>
  <si>
    <t>Eletroencefalograma com Foto estimulação</t>
  </si>
  <si>
    <t>Eletroencefalograma com Foto estimulação prolongado</t>
  </si>
  <si>
    <t>Eletroneuromiografia</t>
  </si>
  <si>
    <t>Potencial evocado P300</t>
  </si>
  <si>
    <t>Eletroneuromiografia Facial</t>
  </si>
  <si>
    <t>Audiometria (PEA) BERA</t>
  </si>
  <si>
    <t>Eletrococleografia Ecochg</t>
  </si>
  <si>
    <t xml:space="preserve">PROCEDIMENTO NUTRICIONISTA </t>
  </si>
  <si>
    <t>Dra. Francieli</t>
  </si>
  <si>
    <t>Bioimpedancia</t>
  </si>
  <si>
    <t>Total de Proc. - Dra. Francieli</t>
  </si>
  <si>
    <t xml:space="preserve">PROCEDIMENTO UROLOGISTA </t>
  </si>
  <si>
    <t>Dr. Edson</t>
  </si>
  <si>
    <t>Vasectomia</t>
  </si>
  <si>
    <t>Urofluxometria</t>
  </si>
  <si>
    <t>Total de Proc. - Dr. Edson</t>
  </si>
  <si>
    <t>PROCEDIMENTO ORTOPEDISTA</t>
  </si>
  <si>
    <t>Dr. Rodrigo</t>
  </si>
  <si>
    <t>Ortopedista - Infiltração</t>
  </si>
  <si>
    <t>Total de Proc. - Dr. Rodrigo</t>
  </si>
  <si>
    <t xml:space="preserve">CONSULTAS ATENDIDAS </t>
  </si>
  <si>
    <t>Dr. Lisa</t>
  </si>
  <si>
    <t>Dra. Karina</t>
  </si>
  <si>
    <t>Ortopedia</t>
  </si>
  <si>
    <t>Nutricionista</t>
  </si>
  <si>
    <t>Dr. Leandro</t>
  </si>
  <si>
    <t>Geriatria/Reumatologia</t>
  </si>
  <si>
    <t>Clínico Geral</t>
  </si>
  <si>
    <t>Dra. Isabeli</t>
  </si>
  <si>
    <t>Dra. Bruna</t>
  </si>
  <si>
    <t>Psicóloga - Avaliação Neuropsicóloga</t>
  </si>
  <si>
    <t>Dr. Leonardo</t>
  </si>
  <si>
    <t>Psicólogo</t>
  </si>
  <si>
    <t>Dra. Ingrid</t>
  </si>
  <si>
    <t xml:space="preserve">Dr. Lucas </t>
  </si>
  <si>
    <t xml:space="preserve">Pediatra </t>
  </si>
  <si>
    <t>Dr. George</t>
  </si>
  <si>
    <t>Ginecologista</t>
  </si>
  <si>
    <t>Dr. Enarco</t>
  </si>
  <si>
    <t>Gastro/Proctologia</t>
  </si>
  <si>
    <t>Dr. Carlos</t>
  </si>
  <si>
    <t>Fisioterapeuta</t>
  </si>
  <si>
    <t>Dr. Mauricio</t>
  </si>
  <si>
    <t xml:space="preserve">Endocrinologista </t>
  </si>
  <si>
    <t>Dermatologia</t>
  </si>
  <si>
    <t>Urologista</t>
  </si>
  <si>
    <t>Dr. Sebastião</t>
  </si>
  <si>
    <t>Nutrologo</t>
  </si>
  <si>
    <t>Vascular</t>
  </si>
  <si>
    <t>Total Procedimentos - Dr. Pedro</t>
  </si>
  <si>
    <t>31</t>
  </si>
  <si>
    <t>Dermatologia - Grau 6</t>
  </si>
  <si>
    <t>1</t>
  </si>
  <si>
    <t>Ortopedista - Punção</t>
  </si>
  <si>
    <t xml:space="preserve">Dr. Rodrigo </t>
  </si>
  <si>
    <t>2</t>
  </si>
  <si>
    <t>25</t>
  </si>
  <si>
    <t>Clínico Geral (agenda 27/06 pgto dia 06/07)</t>
  </si>
  <si>
    <t>Paquimetria</t>
  </si>
  <si>
    <t>Potencial Evocado Visual</t>
  </si>
  <si>
    <t>Total de Proc. - Neuro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</si>
</sst>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_);[Red]\(&quot;R$&quot;\ #,###.00\)"/>
    <numFmt numFmtId="165" formatCode="0.0%"/>
  </numFmts>
  <fonts count="25">
    <font>
      <sz val="11"/>
      <color theme="1"/>
      <name val="Calibri"/>
      <charset val="134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8"/>
      <color theme="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8"/>
      <color theme="1"/>
      <name val="Arial"/>
      <family val="2"/>
    </font>
    <font>
      <sz val="16"/>
      <name val="Arial"/>
      <family val="2"/>
    </font>
    <font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sz val="11"/>
      <name val="Calibri"/>
      <charset val="134"/>
      <scheme val="minor"/>
    </font>
    <font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0" fontId="6" fillId="4" borderId="1" xfId="0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/>
    </xf>
    <xf numFmtId="44" fontId="6" fillId="4" borderId="1" xfId="1" applyFont="1" applyFill="1" applyBorder="1" applyAlignment="1">
      <alignment horizontal="center"/>
    </xf>
    <xf numFmtId="49" fontId="6" fillId="4" borderId="1" xfId="1" applyNumberFormat="1" applyFont="1" applyFill="1" applyBorder="1" applyAlignment="1">
      <alignment horizontal="center"/>
    </xf>
    <xf numFmtId="9" fontId="6" fillId="4" borderId="1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/>
    </xf>
    <xf numFmtId="44" fontId="8" fillId="5" borderId="1" xfId="1" applyFont="1" applyFill="1" applyBorder="1" applyAlignment="1">
      <alignment horizontal="center"/>
    </xf>
    <xf numFmtId="44" fontId="8" fillId="0" borderId="1" xfId="1" applyFont="1" applyFill="1" applyBorder="1" applyAlignment="1">
      <alignment horizontal="center"/>
    </xf>
    <xf numFmtId="44" fontId="8" fillId="0" borderId="1" xfId="1" applyFont="1" applyBorder="1" applyAlignment="1">
      <alignment horizontal="center"/>
    </xf>
    <xf numFmtId="49" fontId="8" fillId="5" borderId="1" xfId="1" applyNumberFormat="1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8" fillId="0" borderId="1" xfId="1" applyNumberFormat="1" applyFont="1" applyFill="1" applyBorder="1"/>
    <xf numFmtId="164" fontId="8" fillId="6" borderId="1" xfId="1" applyNumberFormat="1" applyFont="1" applyFill="1" applyBorder="1"/>
    <xf numFmtId="44" fontId="8" fillId="6" borderId="1" xfId="1" applyFont="1" applyFill="1" applyBorder="1"/>
    <xf numFmtId="0" fontId="8" fillId="5" borderId="1" xfId="0" applyFont="1" applyFill="1" applyBorder="1" applyAlignment="1">
      <alignment horizontal="center"/>
    </xf>
    <xf numFmtId="0" fontId="8" fillId="5" borderId="1" xfId="0" applyNumberFormat="1" applyFont="1" applyFill="1" applyBorder="1" applyAlignment="1">
      <alignment horizontal="center"/>
    </xf>
    <xf numFmtId="164" fontId="8" fillId="0" borderId="1" xfId="1" applyNumberFormat="1" applyFont="1" applyBorder="1"/>
    <xf numFmtId="164" fontId="8" fillId="6" borderId="1" xfId="1" applyNumberFormat="1" applyFont="1" applyFill="1" applyBorder="1" applyAlignment="1">
      <alignment horizontal="center"/>
    </xf>
    <xf numFmtId="44" fontId="8" fillId="6" borderId="1" xfId="1" applyFont="1" applyFill="1" applyBorder="1" applyAlignment="1">
      <alignment horizontal="center"/>
    </xf>
    <xf numFmtId="164" fontId="9" fillId="0" borderId="0" xfId="0" applyNumberFormat="1" applyFont="1"/>
    <xf numFmtId="164" fontId="8" fillId="0" borderId="1" xfId="1" applyNumberFormat="1" applyFont="1" applyBorder="1" applyAlignment="1">
      <alignment horizontal="center"/>
    </xf>
    <xf numFmtId="44" fontId="8" fillId="7" borderId="1" xfId="1" applyFont="1" applyFill="1" applyBorder="1" applyAlignment="1">
      <alignment horizontal="center"/>
    </xf>
    <xf numFmtId="9" fontId="8" fillId="8" borderId="1" xfId="2" applyFont="1" applyFill="1" applyBorder="1" applyAlignment="1">
      <alignment horizontal="center" vertical="center"/>
    </xf>
    <xf numFmtId="0" fontId="8" fillId="8" borderId="1" xfId="2" applyNumberFormat="1" applyFont="1" applyFill="1" applyBorder="1" applyAlignment="1">
      <alignment horizontal="center" vertical="center"/>
    </xf>
    <xf numFmtId="0" fontId="8" fillId="2" borderId="1" xfId="2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164" fontId="14" fillId="3" borderId="1" xfId="1" applyNumberFormat="1" applyFont="1" applyFill="1" applyBorder="1" applyAlignment="1">
      <alignment horizontal="center"/>
    </xf>
    <xf numFmtId="44" fontId="14" fillId="3" borderId="1" xfId="1" applyFont="1" applyFill="1" applyBorder="1" applyAlignment="1">
      <alignment horizontal="center"/>
    </xf>
    <xf numFmtId="44" fontId="14" fillId="8" borderId="2" xfId="1" applyFont="1" applyFill="1" applyBorder="1" applyAlignment="1"/>
    <xf numFmtId="9" fontId="14" fillId="3" borderId="1" xfId="2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" fillId="2" borderId="0" xfId="0" applyFont="1" applyFill="1"/>
    <xf numFmtId="165" fontId="14" fillId="3" borderId="1" xfId="2" applyNumberFormat="1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44" fontId="14" fillId="8" borderId="1" xfId="1" applyFont="1" applyFill="1" applyBorder="1" applyAlignment="1">
      <alignment horizontal="center"/>
    </xf>
    <xf numFmtId="0" fontId="14" fillId="3" borderId="1" xfId="2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0" fontId="2" fillId="2" borderId="0" xfId="0" applyFont="1" applyFill="1"/>
    <xf numFmtId="49" fontId="8" fillId="2" borderId="1" xfId="1" applyNumberFormat="1" applyFont="1" applyFill="1" applyBorder="1" applyAlignment="1">
      <alignment horizontal="center"/>
    </xf>
    <xf numFmtId="0" fontId="8" fillId="2" borderId="1" xfId="1" applyNumberFormat="1" applyFont="1" applyFill="1" applyBorder="1" applyAlignment="1">
      <alignment horizontal="center"/>
    </xf>
    <xf numFmtId="44" fontId="14" fillId="7" borderId="2" xfId="1" applyFont="1" applyFill="1" applyBorder="1" applyAlignment="1"/>
    <xf numFmtId="49" fontId="14" fillId="3" borderId="1" xfId="1" applyNumberFormat="1" applyFont="1" applyFill="1" applyBorder="1" applyAlignment="1">
      <alignment horizontal="center"/>
    </xf>
    <xf numFmtId="49" fontId="14" fillId="3" borderId="6" xfId="0" applyNumberFormat="1" applyFont="1" applyFill="1" applyBorder="1" applyAlignment="1">
      <alignment horizontal="center"/>
    </xf>
    <xf numFmtId="0" fontId="3" fillId="2" borderId="0" xfId="0" applyFont="1" applyFill="1"/>
    <xf numFmtId="0" fontId="6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8" fillId="9" borderId="1" xfId="0" applyNumberFormat="1" applyFont="1" applyFill="1" applyBorder="1" applyAlignment="1">
      <alignment horizontal="center"/>
    </xf>
    <xf numFmtId="0" fontId="14" fillId="9" borderId="1" xfId="0" applyNumberFormat="1" applyFont="1" applyFill="1" applyBorder="1" applyAlignment="1">
      <alignment horizontal="center"/>
    </xf>
    <xf numFmtId="49" fontId="8" fillId="0" borderId="1" xfId="1" applyNumberFormat="1" applyFont="1" applyBorder="1" applyAlignment="1">
      <alignment horizontal="center"/>
    </xf>
    <xf numFmtId="164" fontId="17" fillId="2" borderId="1" xfId="1" applyNumberFormat="1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49" fontId="17" fillId="2" borderId="1" xfId="1" applyNumberFormat="1" applyFont="1" applyFill="1" applyBorder="1" applyAlignment="1">
      <alignment horizontal="center"/>
    </xf>
    <xf numFmtId="9" fontId="17" fillId="2" borderId="1" xfId="2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44" fontId="17" fillId="7" borderId="1" xfId="1" applyFont="1" applyFill="1" applyBorder="1" applyAlignment="1">
      <alignment horizontal="center"/>
    </xf>
    <xf numFmtId="44" fontId="18" fillId="0" borderId="1" xfId="1" applyFont="1" applyBorder="1"/>
    <xf numFmtId="9" fontId="18" fillId="2" borderId="1" xfId="2" applyFont="1" applyFill="1" applyBorder="1" applyAlignment="1">
      <alignment horizontal="center" vertical="center"/>
    </xf>
    <xf numFmtId="0" fontId="18" fillId="10" borderId="1" xfId="1" applyNumberFormat="1" applyFont="1" applyFill="1" applyBorder="1"/>
    <xf numFmtId="0" fontId="18" fillId="10" borderId="1" xfId="0" applyFont="1" applyFill="1" applyBorder="1" applyAlignment="1">
      <alignment horizontal="center"/>
    </xf>
    <xf numFmtId="0" fontId="4" fillId="2" borderId="0" xfId="0" applyFont="1" applyFill="1"/>
    <xf numFmtId="0" fontId="20" fillId="0" borderId="1" xfId="0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ill="1"/>
    <xf numFmtId="0" fontId="11" fillId="0" borderId="1" xfId="0" applyFont="1" applyFill="1" applyBorder="1" applyAlignment="1">
      <alignment horizontal="center" vertical="center"/>
    </xf>
    <xf numFmtId="44" fontId="8" fillId="2" borderId="1" xfId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49" fontId="7" fillId="2" borderId="1" xfId="1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44" fontId="22" fillId="8" borderId="2" xfId="1" applyFont="1" applyFill="1" applyBorder="1" applyAlignment="1"/>
    <xf numFmtId="0" fontId="23" fillId="0" borderId="0" xfId="0" applyNumberFormat="1" applyFont="1"/>
    <xf numFmtId="164" fontId="24" fillId="0" borderId="1" xfId="1" applyNumberFormat="1" applyFont="1" applyBorder="1" applyAlignment="1">
      <alignment horizontal="center"/>
    </xf>
    <xf numFmtId="44" fontId="24" fillId="0" borderId="1" xfId="1" applyFont="1" applyBorder="1" applyAlignment="1">
      <alignment horizontal="center"/>
    </xf>
    <xf numFmtId="9" fontId="24" fillId="2" borderId="1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NumberFormat="1" applyFont="1" applyFill="1" applyBorder="1" applyAlignment="1">
      <alignment horizontal="center"/>
    </xf>
    <xf numFmtId="0" fontId="8" fillId="2" borderId="3" xfId="2" applyNumberFormat="1" applyFont="1" applyFill="1" applyBorder="1" applyAlignment="1">
      <alignment horizontal="center" vertical="center"/>
    </xf>
    <xf numFmtId="0" fontId="8" fillId="2" borderId="4" xfId="2" applyNumberFormat="1" applyFont="1" applyFill="1" applyBorder="1" applyAlignment="1">
      <alignment horizontal="center" vertical="center"/>
    </xf>
    <xf numFmtId="0" fontId="8" fillId="2" borderId="5" xfId="2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tabSelected="1" topLeftCell="A41" zoomScale="55" zoomScaleNormal="55" workbookViewId="0">
      <selection activeCell="F67" sqref="F67"/>
    </sheetView>
  </sheetViews>
  <sheetFormatPr defaultColWidth="9" defaultRowHeight="15"/>
  <cols>
    <col min="1" max="1" width="54.28515625" style="6" customWidth="1"/>
    <col min="2" max="2" width="27.42578125" style="7" bestFit="1" customWidth="1"/>
    <col min="3" max="3" width="24.85546875" style="7" customWidth="1"/>
    <col min="4" max="4" width="23.7109375" bestFit="1" customWidth="1"/>
    <col min="5" max="5" width="22.140625" customWidth="1"/>
    <col min="6" max="6" width="25" customWidth="1"/>
    <col min="7" max="7" width="16.5703125" customWidth="1"/>
    <col min="8" max="8" width="22" bestFit="1" customWidth="1"/>
    <col min="9" max="9" width="18.42578125" customWidth="1"/>
    <col min="10" max="10" width="21.85546875" customWidth="1"/>
    <col min="11" max="11" width="13" style="8" customWidth="1"/>
    <col min="12" max="12" width="85.5703125" customWidth="1"/>
    <col min="13" max="50" width="9" style="1"/>
  </cols>
  <sheetData>
    <row r="1" spans="1:50" ht="18.75" thickBot="1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4" t="s">
        <v>9</v>
      </c>
      <c r="K1" s="15" t="s">
        <v>10</v>
      </c>
      <c r="L1" s="14" t="s">
        <v>11</v>
      </c>
    </row>
    <row r="2" spans="1:50" ht="20.25" hidden="1">
      <c r="A2" s="16" t="s">
        <v>12</v>
      </c>
      <c r="B2" s="17"/>
      <c r="C2" s="17"/>
      <c r="D2" s="18"/>
      <c r="E2" s="19"/>
      <c r="F2" s="20"/>
      <c r="G2" s="21"/>
      <c r="H2" s="22" t="e">
        <f t="shared" ref="H2:H8" si="0">(B2-C2)/B2</f>
        <v>#DIV/0!</v>
      </c>
      <c r="I2" s="23"/>
      <c r="J2" s="24"/>
      <c r="K2" s="25">
        <v>1</v>
      </c>
      <c r="L2" s="24" t="s">
        <v>13</v>
      </c>
    </row>
    <row r="3" spans="1:50" ht="20.25" hidden="1">
      <c r="A3" s="16" t="s">
        <v>14</v>
      </c>
      <c r="B3" s="17"/>
      <c r="C3" s="17"/>
      <c r="D3" s="18"/>
      <c r="E3" s="19"/>
      <c r="F3" s="20"/>
      <c r="G3" s="21"/>
      <c r="H3" s="22" t="e">
        <f t="shared" si="0"/>
        <v>#DIV/0!</v>
      </c>
      <c r="I3" s="23"/>
      <c r="J3" s="24"/>
      <c r="K3" s="25">
        <v>1</v>
      </c>
      <c r="L3" s="24" t="s">
        <v>15</v>
      </c>
    </row>
    <row r="4" spans="1:50" ht="20.25" hidden="1">
      <c r="A4" s="26" t="s">
        <v>16</v>
      </c>
      <c r="B4" s="27"/>
      <c r="C4" s="28"/>
      <c r="D4" s="18"/>
      <c r="E4" s="29"/>
      <c r="F4" s="20">
        <f t="shared" ref="F4:F7" si="1">SUM(B4+C4)</f>
        <v>0</v>
      </c>
      <c r="G4" s="21"/>
      <c r="H4" s="22" t="e">
        <f t="shared" si="0"/>
        <v>#DIV/0!</v>
      </c>
      <c r="I4" s="30"/>
      <c r="J4" s="30"/>
      <c r="K4" s="31"/>
      <c r="L4" s="23" t="s">
        <v>17</v>
      </c>
    </row>
    <row r="5" spans="1:50" ht="20.25" hidden="1">
      <c r="A5" s="26" t="s">
        <v>18</v>
      </c>
      <c r="B5" s="32"/>
      <c r="C5" s="28"/>
      <c r="D5" s="18"/>
      <c r="E5" s="29"/>
      <c r="F5" s="20">
        <f t="shared" si="1"/>
        <v>0</v>
      </c>
      <c r="G5" s="21"/>
      <c r="H5" s="22" t="e">
        <f t="shared" si="0"/>
        <v>#DIV/0!</v>
      </c>
      <c r="I5" s="30"/>
      <c r="J5" s="30"/>
      <c r="K5" s="31"/>
      <c r="L5" s="23" t="s">
        <v>19</v>
      </c>
    </row>
    <row r="6" spans="1:50" ht="20.25" hidden="1">
      <c r="A6" s="26" t="s">
        <v>20</v>
      </c>
      <c r="B6" s="17"/>
      <c r="C6" s="33"/>
      <c r="D6" s="18"/>
      <c r="E6" s="34"/>
      <c r="F6" s="20">
        <f t="shared" si="1"/>
        <v>0</v>
      </c>
      <c r="G6" s="21"/>
      <c r="H6" s="22" t="e">
        <f t="shared" si="0"/>
        <v>#DIV/0!</v>
      </c>
      <c r="I6" s="30"/>
      <c r="J6" s="30"/>
      <c r="K6" s="31"/>
      <c r="L6" s="23" t="s">
        <v>21</v>
      </c>
    </row>
    <row r="7" spans="1:50" ht="20.25" hidden="1">
      <c r="A7" s="26" t="s">
        <v>22</v>
      </c>
      <c r="B7" s="17"/>
      <c r="C7" s="17"/>
      <c r="D7" s="18"/>
      <c r="E7" s="19"/>
      <c r="F7" s="20">
        <f t="shared" si="1"/>
        <v>0</v>
      </c>
      <c r="G7" s="21"/>
      <c r="H7" s="22" t="e">
        <f t="shared" si="0"/>
        <v>#DIV/0!</v>
      </c>
      <c r="I7" s="23"/>
      <c r="J7" s="30"/>
      <c r="K7" s="25"/>
      <c r="L7" s="23" t="s">
        <v>23</v>
      </c>
    </row>
    <row r="8" spans="1:50" ht="24" thickBot="1">
      <c r="A8" s="26" t="s">
        <v>24</v>
      </c>
      <c r="B8" s="35">
        <v>64436.55</v>
      </c>
      <c r="C8" s="36">
        <v>14981.57</v>
      </c>
      <c r="D8" s="22">
        <v>0</v>
      </c>
      <c r="E8" s="37">
        <v>0</v>
      </c>
      <c r="F8" s="20">
        <v>0</v>
      </c>
      <c r="G8" s="22">
        <v>0</v>
      </c>
      <c r="H8" s="22">
        <f t="shared" si="0"/>
        <v>0.76749888068184902</v>
      </c>
      <c r="I8" s="22">
        <v>0</v>
      </c>
      <c r="J8" s="38"/>
      <c r="K8" s="39"/>
      <c r="L8" s="23" t="s">
        <v>25</v>
      </c>
    </row>
    <row r="9" spans="1:50" ht="21" customHeight="1" thickBot="1">
      <c r="A9" s="9" t="s">
        <v>26</v>
      </c>
      <c r="B9" s="10" t="s">
        <v>1</v>
      </c>
      <c r="C9" s="10" t="s">
        <v>2</v>
      </c>
      <c r="D9" s="11" t="s">
        <v>3</v>
      </c>
      <c r="E9" s="11" t="s">
        <v>4</v>
      </c>
      <c r="F9" s="11" t="s">
        <v>5</v>
      </c>
      <c r="G9" s="12" t="s">
        <v>6</v>
      </c>
      <c r="H9" s="13" t="s">
        <v>7</v>
      </c>
      <c r="I9" s="14" t="s">
        <v>8</v>
      </c>
      <c r="J9" s="14" t="s">
        <v>9</v>
      </c>
      <c r="K9" s="15" t="s">
        <v>10</v>
      </c>
      <c r="L9" s="14" t="s">
        <v>11</v>
      </c>
    </row>
    <row r="10" spans="1:50" s="1" customFormat="1" ht="20.25">
      <c r="A10" s="91" t="s">
        <v>27</v>
      </c>
      <c r="B10" s="43">
        <v>1500</v>
      </c>
      <c r="C10" s="43">
        <v>750</v>
      </c>
      <c r="D10" s="22">
        <v>0</v>
      </c>
      <c r="E10" s="90">
        <v>0</v>
      </c>
      <c r="F10" s="90">
        <f>SUM(B10-C10)</f>
        <v>750</v>
      </c>
      <c r="G10" s="22">
        <v>0</v>
      </c>
      <c r="H10" s="22">
        <f>(B10-C10)/B10</f>
        <v>0.5</v>
      </c>
      <c r="I10" s="22">
        <v>0</v>
      </c>
      <c r="J10" s="40">
        <v>15</v>
      </c>
      <c r="K10" s="40">
        <v>2</v>
      </c>
      <c r="L10" s="24" t="s">
        <v>28</v>
      </c>
    </row>
    <row r="11" spans="1:50" ht="18">
      <c r="A11" s="41" t="s">
        <v>29</v>
      </c>
      <c r="B11" s="10" t="s">
        <v>1</v>
      </c>
      <c r="C11" s="10" t="s">
        <v>2</v>
      </c>
      <c r="D11" s="11" t="s">
        <v>3</v>
      </c>
      <c r="E11" s="11" t="s">
        <v>4</v>
      </c>
      <c r="F11" s="11" t="s">
        <v>5</v>
      </c>
      <c r="G11" s="12" t="s">
        <v>6</v>
      </c>
      <c r="H11" s="13" t="s">
        <v>7</v>
      </c>
      <c r="I11" s="14" t="s">
        <v>8</v>
      </c>
      <c r="J11" s="14" t="s">
        <v>9</v>
      </c>
      <c r="K11" s="15" t="s">
        <v>10</v>
      </c>
      <c r="L11" s="14" t="s">
        <v>11</v>
      </c>
    </row>
    <row r="12" spans="1:50" s="88" customFormat="1" ht="23.25">
      <c r="A12" s="83" t="s">
        <v>30</v>
      </c>
      <c r="B12" s="17">
        <v>800</v>
      </c>
      <c r="C12" s="17">
        <v>420</v>
      </c>
      <c r="D12" s="19">
        <v>0</v>
      </c>
      <c r="E12" s="95">
        <f t="shared" ref="E12:E13" si="2">SUM(E5:E6)</f>
        <v>0</v>
      </c>
      <c r="F12" s="19">
        <f>SUM(B12-C12)</f>
        <v>380</v>
      </c>
      <c r="G12" s="84">
        <v>0</v>
      </c>
      <c r="H12" s="84">
        <f>(B12-C12)/B12</f>
        <v>0.47499999999999998</v>
      </c>
      <c r="I12" s="85">
        <v>0</v>
      </c>
      <c r="J12" s="85">
        <v>1</v>
      </c>
      <c r="K12" s="86">
        <v>1</v>
      </c>
      <c r="L12" s="87" t="s">
        <v>31</v>
      </c>
    </row>
    <row r="13" spans="1:50" s="88" customFormat="1" ht="23.25">
      <c r="A13" s="89" t="s">
        <v>30</v>
      </c>
      <c r="B13" s="17">
        <v>1110</v>
      </c>
      <c r="C13" s="17">
        <v>540</v>
      </c>
      <c r="D13" s="19">
        <v>0</v>
      </c>
      <c r="E13" s="95">
        <f t="shared" si="2"/>
        <v>0</v>
      </c>
      <c r="F13" s="19">
        <f>SUM(B13-C13)</f>
        <v>570</v>
      </c>
      <c r="G13" s="84">
        <v>0</v>
      </c>
      <c r="H13" s="84">
        <f>SUM(F13/B13)*100%</f>
        <v>0.51351351351351349</v>
      </c>
      <c r="I13" s="85">
        <v>0</v>
      </c>
      <c r="J13" s="85">
        <v>3</v>
      </c>
      <c r="K13" s="86">
        <v>1</v>
      </c>
      <c r="L13" s="87" t="s">
        <v>32</v>
      </c>
    </row>
    <row r="14" spans="1:50" s="2" customFormat="1" ht="24" thickBot="1">
      <c r="A14" s="46" t="s">
        <v>33</v>
      </c>
      <c r="B14" s="47">
        <f>SUM(B12:B13)</f>
        <v>1910</v>
      </c>
      <c r="C14" s="47">
        <f>SUM(C12:C13)</f>
        <v>960</v>
      </c>
      <c r="D14" s="48">
        <f>SUM(D7:D8)</f>
        <v>0</v>
      </c>
      <c r="E14" s="49">
        <f>SUM(E7:E8)</f>
        <v>0</v>
      </c>
      <c r="F14" s="48">
        <f>SUM(F12:F13)</f>
        <v>950</v>
      </c>
      <c r="G14" s="50">
        <v>0</v>
      </c>
      <c r="H14" s="50">
        <f>SUM(H12,H13)/2</f>
        <v>0.49425675675675673</v>
      </c>
      <c r="I14" s="51">
        <v>0</v>
      </c>
      <c r="J14" s="51">
        <f>SUM(J12:J13)</f>
        <v>4</v>
      </c>
      <c r="K14" s="51">
        <f>SUM(K12:K13)</f>
        <v>2</v>
      </c>
      <c r="L14" s="52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</row>
    <row r="15" spans="1:50" ht="18.75" thickBot="1">
      <c r="A15" s="9" t="s">
        <v>34</v>
      </c>
      <c r="B15" s="10" t="s">
        <v>1</v>
      </c>
      <c r="C15" s="10" t="s">
        <v>2</v>
      </c>
      <c r="D15" s="11" t="s">
        <v>3</v>
      </c>
      <c r="E15" s="11" t="s">
        <v>4</v>
      </c>
      <c r="F15" s="11" t="s">
        <v>5</v>
      </c>
      <c r="G15" s="12" t="s">
        <v>6</v>
      </c>
      <c r="H15" s="13" t="s">
        <v>7</v>
      </c>
      <c r="I15" s="14" t="s">
        <v>8</v>
      </c>
      <c r="J15" s="14" t="s">
        <v>9</v>
      </c>
      <c r="K15" s="15" t="s">
        <v>10</v>
      </c>
      <c r="L15" s="14" t="s">
        <v>11</v>
      </c>
    </row>
    <row r="16" spans="1:50" s="1" customFormat="1" ht="20.25">
      <c r="A16" s="42" t="s">
        <v>30</v>
      </c>
      <c r="B16" s="43">
        <v>2750</v>
      </c>
      <c r="C16" s="43">
        <v>1100</v>
      </c>
      <c r="D16" s="20">
        <v>0</v>
      </c>
      <c r="E16" s="37">
        <v>0</v>
      </c>
      <c r="F16" s="20">
        <f>SUM(B16-C16)</f>
        <v>1650</v>
      </c>
      <c r="G16" s="22">
        <v>0</v>
      </c>
      <c r="H16" s="22">
        <f t="shared" ref="H16:H18" si="3">SUM(F16/B16)*100%</f>
        <v>0.6</v>
      </c>
      <c r="I16" s="23">
        <v>0</v>
      </c>
      <c r="J16" s="24">
        <v>11</v>
      </c>
      <c r="K16" s="44">
        <v>0</v>
      </c>
      <c r="L16" s="24" t="s">
        <v>39</v>
      </c>
    </row>
    <row r="17" spans="1:50" s="1" customFormat="1" ht="20.25">
      <c r="A17" s="42" t="s">
        <v>30</v>
      </c>
      <c r="B17" s="43">
        <v>6000</v>
      </c>
      <c r="C17" s="43">
        <v>2400</v>
      </c>
      <c r="D17" s="20">
        <v>0</v>
      </c>
      <c r="E17" s="37">
        <v>0</v>
      </c>
      <c r="F17" s="20">
        <f>SUM(B17-C17)</f>
        <v>3600</v>
      </c>
      <c r="G17" s="22">
        <v>0</v>
      </c>
      <c r="H17" s="22">
        <f t="shared" si="3"/>
        <v>0.6</v>
      </c>
      <c r="I17" s="23">
        <v>0</v>
      </c>
      <c r="J17" s="24">
        <v>24</v>
      </c>
      <c r="K17" s="44">
        <v>0</v>
      </c>
      <c r="L17" s="24" t="s">
        <v>40</v>
      </c>
    </row>
    <row r="18" spans="1:50" s="1" customFormat="1" ht="20.25">
      <c r="A18" s="42" t="s">
        <v>30</v>
      </c>
      <c r="B18" s="43">
        <v>900</v>
      </c>
      <c r="C18" s="43">
        <v>385</v>
      </c>
      <c r="D18" s="20">
        <v>0</v>
      </c>
      <c r="E18" s="37">
        <v>0</v>
      </c>
      <c r="F18" s="20">
        <f>SUM(B18-C18)</f>
        <v>515</v>
      </c>
      <c r="G18" s="22">
        <v>0</v>
      </c>
      <c r="H18" s="22">
        <f t="shared" si="3"/>
        <v>0.57222222222222219</v>
      </c>
      <c r="I18" s="23">
        <v>0</v>
      </c>
      <c r="J18" s="24">
        <v>5</v>
      </c>
      <c r="K18" s="44">
        <v>0</v>
      </c>
      <c r="L18" s="24" t="s">
        <v>41</v>
      </c>
    </row>
    <row r="19" spans="1:50" s="2" customFormat="1" ht="23.25">
      <c r="A19" s="56" t="s">
        <v>42</v>
      </c>
      <c r="B19" s="47">
        <f>SUM(B16:B18)</f>
        <v>9650</v>
      </c>
      <c r="C19" s="47">
        <f>SUM(C16:C18)</f>
        <v>3885</v>
      </c>
      <c r="D19" s="48">
        <f>SUM(D16:D18)</f>
        <v>0</v>
      </c>
      <c r="E19" s="49">
        <f>SUM(E16:E18)</f>
        <v>0</v>
      </c>
      <c r="F19" s="48">
        <f>SUM(F16:F18)-D19</f>
        <v>5765</v>
      </c>
      <c r="G19" s="50">
        <v>0</v>
      </c>
      <c r="H19" s="50">
        <f>SUM(H16:H18)/3</f>
        <v>0.59074074074074068</v>
      </c>
      <c r="I19" s="51"/>
      <c r="J19" s="51">
        <f>SUM(J16:J18)</f>
        <v>40</v>
      </c>
      <c r="K19" s="55">
        <f>SUM(K16:K18)</f>
        <v>0</v>
      </c>
      <c r="L19" s="52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</row>
    <row r="20" spans="1:50" ht="18">
      <c r="A20" s="9" t="s">
        <v>34</v>
      </c>
      <c r="B20" s="10" t="s">
        <v>1</v>
      </c>
      <c r="C20" s="10" t="s">
        <v>2</v>
      </c>
      <c r="D20" s="11" t="s">
        <v>3</v>
      </c>
      <c r="E20" s="11" t="s">
        <v>4</v>
      </c>
      <c r="F20" s="11" t="s">
        <v>5</v>
      </c>
      <c r="G20" s="12" t="s">
        <v>6</v>
      </c>
      <c r="H20" s="13" t="s">
        <v>7</v>
      </c>
      <c r="I20" s="14" t="s">
        <v>8</v>
      </c>
      <c r="J20" s="14" t="s">
        <v>9</v>
      </c>
      <c r="K20" s="15" t="s">
        <v>10</v>
      </c>
      <c r="L20" s="14" t="s">
        <v>11</v>
      </c>
    </row>
    <row r="21" spans="1:50" s="1" customFormat="1" ht="21" thickBot="1">
      <c r="A21" s="42" t="s">
        <v>43</v>
      </c>
      <c r="B21" s="43">
        <v>19095</v>
      </c>
      <c r="C21" s="43">
        <v>9547.5</v>
      </c>
      <c r="D21" s="20">
        <v>0</v>
      </c>
      <c r="E21" s="37">
        <v>0</v>
      </c>
      <c r="F21" s="20">
        <f t="shared" ref="F21:F26" si="4">SUM(B21-C21)</f>
        <v>9547.5</v>
      </c>
      <c r="G21" s="22">
        <v>0</v>
      </c>
      <c r="H21" s="22">
        <f>SUM(F21/B21)*100%</f>
        <v>0.5</v>
      </c>
      <c r="I21" s="23">
        <v>7</v>
      </c>
      <c r="J21" s="24">
        <v>201</v>
      </c>
      <c r="K21" s="104">
        <v>0</v>
      </c>
      <c r="L21" s="45" t="s">
        <v>36</v>
      </c>
    </row>
    <row r="22" spans="1:50" s="1" customFormat="1" ht="21" thickBot="1">
      <c r="A22" s="42" t="s">
        <v>43</v>
      </c>
      <c r="B22" s="43">
        <v>6615</v>
      </c>
      <c r="C22" s="43">
        <v>2992.5</v>
      </c>
      <c r="D22" s="20">
        <v>0</v>
      </c>
      <c r="E22" s="37">
        <v>0</v>
      </c>
      <c r="F22" s="20">
        <f t="shared" si="4"/>
        <v>3622.5</v>
      </c>
      <c r="G22" s="22">
        <v>0</v>
      </c>
      <c r="H22" s="22">
        <f t="shared" ref="H22:H26" si="5">SUM(F22/B22)*100%</f>
        <v>0.54761904761904767</v>
      </c>
      <c r="I22" s="23">
        <v>7</v>
      </c>
      <c r="J22" s="24">
        <v>63</v>
      </c>
      <c r="K22" s="105"/>
      <c r="L22" s="45" t="s">
        <v>44</v>
      </c>
    </row>
    <row r="23" spans="1:50" s="1" customFormat="1" ht="20.25">
      <c r="A23" s="42" t="s">
        <v>43</v>
      </c>
      <c r="B23" s="43">
        <v>185</v>
      </c>
      <c r="C23" s="43">
        <v>47.5</v>
      </c>
      <c r="D23" s="20">
        <v>0</v>
      </c>
      <c r="E23" s="37">
        <v>0</v>
      </c>
      <c r="F23" s="20">
        <f t="shared" si="4"/>
        <v>137.5</v>
      </c>
      <c r="G23" s="22">
        <v>0</v>
      </c>
      <c r="H23" s="22">
        <f t="shared" si="5"/>
        <v>0.7432432432432432</v>
      </c>
      <c r="I23" s="23">
        <v>7</v>
      </c>
      <c r="J23" s="24">
        <v>1</v>
      </c>
      <c r="K23" s="105"/>
      <c r="L23" s="45" t="s">
        <v>45</v>
      </c>
    </row>
    <row r="24" spans="1:50" s="1" customFormat="1" ht="20.25">
      <c r="A24" s="42" t="s">
        <v>43</v>
      </c>
      <c r="B24" s="43">
        <v>186</v>
      </c>
      <c r="C24" s="43">
        <v>95</v>
      </c>
      <c r="D24" s="20">
        <v>0</v>
      </c>
      <c r="E24" s="37">
        <v>0</v>
      </c>
      <c r="F24" s="20">
        <f t="shared" si="4"/>
        <v>91</v>
      </c>
      <c r="G24" s="22">
        <v>0</v>
      </c>
      <c r="H24" s="22">
        <f t="shared" si="5"/>
        <v>0.489247311827957</v>
      </c>
      <c r="I24" s="23">
        <v>7</v>
      </c>
      <c r="J24" s="24">
        <v>2</v>
      </c>
      <c r="K24" s="105"/>
      <c r="L24" s="45" t="s">
        <v>37</v>
      </c>
    </row>
    <row r="25" spans="1:50" s="1" customFormat="1" ht="20.25">
      <c r="A25" s="42" t="s">
        <v>43</v>
      </c>
      <c r="B25" s="43">
        <v>816</v>
      </c>
      <c r="C25" s="43">
        <v>380</v>
      </c>
      <c r="D25" s="20">
        <v>0</v>
      </c>
      <c r="E25" s="37">
        <v>0</v>
      </c>
      <c r="F25" s="20">
        <f t="shared" si="4"/>
        <v>436</v>
      </c>
      <c r="G25" s="22">
        <v>0</v>
      </c>
      <c r="H25" s="22">
        <f t="shared" si="5"/>
        <v>0.53431372549019607</v>
      </c>
      <c r="I25" s="23">
        <v>7</v>
      </c>
      <c r="J25" s="24">
        <v>8</v>
      </c>
      <c r="K25" s="105"/>
      <c r="L25" s="45" t="s">
        <v>46</v>
      </c>
    </row>
    <row r="26" spans="1:50" s="1" customFormat="1" ht="20.25">
      <c r="A26" s="42" t="s">
        <v>43</v>
      </c>
      <c r="B26" s="43">
        <v>2960</v>
      </c>
      <c r="C26" s="43">
        <v>1232</v>
      </c>
      <c r="D26" s="20">
        <v>0</v>
      </c>
      <c r="E26" s="37">
        <v>0</v>
      </c>
      <c r="F26" s="20">
        <f t="shared" si="4"/>
        <v>1728</v>
      </c>
      <c r="G26" s="22">
        <v>0</v>
      </c>
      <c r="H26" s="22">
        <f t="shared" si="5"/>
        <v>0.58378378378378382</v>
      </c>
      <c r="I26" s="23">
        <v>7</v>
      </c>
      <c r="J26" s="24">
        <v>16</v>
      </c>
      <c r="K26" s="106"/>
      <c r="L26" s="24" t="s">
        <v>38</v>
      </c>
    </row>
    <row r="27" spans="1:50" s="3" customFormat="1" ht="24" thickBot="1">
      <c r="A27" s="56" t="s">
        <v>47</v>
      </c>
      <c r="B27" s="47">
        <f>SUM(B21:B26)</f>
        <v>29857</v>
      </c>
      <c r="C27" s="47">
        <f>SUM(C21:C26)</f>
        <v>14294.5</v>
      </c>
      <c r="D27" s="48">
        <f>SUM(D17:D26)</f>
        <v>0</v>
      </c>
      <c r="E27" s="57">
        <f>SUM(E17:E26)</f>
        <v>0</v>
      </c>
      <c r="F27" s="48">
        <f>SUM(F21:F26)-E27</f>
        <v>15562.5</v>
      </c>
      <c r="G27" s="50">
        <v>0</v>
      </c>
      <c r="H27" s="50">
        <f>SUM(H21:H26)/7</f>
        <v>0.48545815885203247</v>
      </c>
      <c r="I27" s="51">
        <v>0</v>
      </c>
      <c r="J27" s="51">
        <f>SUM(J21:J26)</f>
        <v>291</v>
      </c>
      <c r="K27" s="58">
        <f>SUM(K21)</f>
        <v>0</v>
      </c>
      <c r="L27" s="59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</row>
    <row r="28" spans="1:50" ht="20.25" hidden="1">
      <c r="A28" s="26" t="s">
        <v>30</v>
      </c>
      <c r="B28" s="36">
        <v>0</v>
      </c>
      <c r="C28" s="36">
        <v>0</v>
      </c>
      <c r="D28" s="22"/>
      <c r="E28" s="20">
        <v>0</v>
      </c>
      <c r="F28" s="20">
        <f>SUM(B28+C28)</f>
        <v>0</v>
      </c>
      <c r="G28" s="22"/>
      <c r="H28" s="22" t="e">
        <f t="shared" ref="H28:H37" si="6">(B28-C28)/B28</f>
        <v>#DIV/0!</v>
      </c>
      <c r="I28" s="23">
        <v>0</v>
      </c>
      <c r="J28" s="23">
        <v>0</v>
      </c>
      <c r="K28" s="25">
        <v>0</v>
      </c>
      <c r="L28" s="23" t="s">
        <v>48</v>
      </c>
    </row>
    <row r="29" spans="1:50" ht="18.75" thickBot="1">
      <c r="A29" s="9" t="s">
        <v>49</v>
      </c>
      <c r="B29" s="10" t="s">
        <v>1</v>
      </c>
      <c r="C29" s="10" t="s">
        <v>2</v>
      </c>
      <c r="D29" s="11" t="s">
        <v>3</v>
      </c>
      <c r="E29" s="11" t="s">
        <v>4</v>
      </c>
      <c r="F29" s="11" t="s">
        <v>5</v>
      </c>
      <c r="G29" s="12" t="s">
        <v>6</v>
      </c>
      <c r="H29" s="13" t="s">
        <v>7</v>
      </c>
      <c r="I29" s="14" t="s">
        <v>8</v>
      </c>
      <c r="J29" s="14" t="s">
        <v>9</v>
      </c>
      <c r="K29" s="15" t="s">
        <v>10</v>
      </c>
      <c r="L29" s="14" t="s">
        <v>11</v>
      </c>
    </row>
    <row r="30" spans="1:50" ht="21" thickBot="1">
      <c r="A30" s="42" t="s">
        <v>50</v>
      </c>
      <c r="B30" s="43">
        <v>1395</v>
      </c>
      <c r="C30" s="43">
        <v>279</v>
      </c>
      <c r="D30" s="20">
        <v>0</v>
      </c>
      <c r="E30" s="37">
        <v>0</v>
      </c>
      <c r="F30" s="20">
        <f>SUM(B30-C30)</f>
        <v>1116</v>
      </c>
      <c r="G30" s="22">
        <v>0</v>
      </c>
      <c r="H30" s="22">
        <f t="shared" si="6"/>
        <v>0.8</v>
      </c>
      <c r="I30" s="61" t="s">
        <v>136</v>
      </c>
      <c r="J30" s="61" t="s">
        <v>130</v>
      </c>
      <c r="K30" s="62">
        <v>0</v>
      </c>
      <c r="L30" s="23" t="s">
        <v>52</v>
      </c>
    </row>
    <row r="31" spans="1:50" ht="20.25">
      <c r="A31" s="42" t="s">
        <v>50</v>
      </c>
      <c r="B31" s="43">
        <v>7475</v>
      </c>
      <c r="C31" s="43">
        <v>3575</v>
      </c>
      <c r="D31" s="20">
        <v>0</v>
      </c>
      <c r="E31" s="37">
        <v>0</v>
      </c>
      <c r="F31" s="20">
        <f>SUM(B31-C31)</f>
        <v>3900</v>
      </c>
      <c r="G31" s="22">
        <v>0</v>
      </c>
      <c r="H31" s="22">
        <f t="shared" si="6"/>
        <v>0.52173913043478259</v>
      </c>
      <c r="I31" s="61" t="s">
        <v>136</v>
      </c>
      <c r="J31" s="24">
        <v>65</v>
      </c>
      <c r="K31" s="62">
        <v>0</v>
      </c>
      <c r="L31" s="23" t="s">
        <v>53</v>
      </c>
    </row>
    <row r="32" spans="1:50" ht="20.25">
      <c r="A32" s="42" t="s">
        <v>50</v>
      </c>
      <c r="B32" s="43">
        <v>5060</v>
      </c>
      <c r="C32" s="43">
        <v>2420</v>
      </c>
      <c r="D32" s="20">
        <v>0</v>
      </c>
      <c r="E32" s="37">
        <v>0</v>
      </c>
      <c r="F32" s="20">
        <f>SUM(B32-C32)</f>
        <v>2640</v>
      </c>
      <c r="G32" s="22">
        <v>0</v>
      </c>
      <c r="H32" s="22">
        <f t="shared" si="6"/>
        <v>0.52173913043478259</v>
      </c>
      <c r="I32" s="61" t="s">
        <v>136</v>
      </c>
      <c r="J32" s="24">
        <v>44</v>
      </c>
      <c r="K32" s="62">
        <v>0</v>
      </c>
      <c r="L32" s="23" t="s">
        <v>54</v>
      </c>
    </row>
    <row r="33" spans="1:50" ht="24" customHeight="1">
      <c r="A33" s="42" t="s">
        <v>50</v>
      </c>
      <c r="B33" s="43">
        <v>1710</v>
      </c>
      <c r="C33" s="43">
        <v>720</v>
      </c>
      <c r="D33" s="20">
        <v>0</v>
      </c>
      <c r="E33" s="37">
        <v>0</v>
      </c>
      <c r="F33" s="20">
        <f>SUM(B33-C33)</f>
        <v>990</v>
      </c>
      <c r="G33" s="22">
        <v>0</v>
      </c>
      <c r="H33" s="22">
        <f t="shared" si="6"/>
        <v>0.57894736842105265</v>
      </c>
      <c r="I33" s="61" t="s">
        <v>135</v>
      </c>
      <c r="J33" s="23">
        <v>9</v>
      </c>
      <c r="K33" s="25">
        <v>0</v>
      </c>
      <c r="L33" s="23" t="s">
        <v>55</v>
      </c>
    </row>
    <row r="34" spans="1:50" ht="21.75" customHeight="1" thickBot="1">
      <c r="A34" s="42" t="s">
        <v>50</v>
      </c>
      <c r="B34" s="43">
        <v>7220</v>
      </c>
      <c r="C34" s="43">
        <v>3116</v>
      </c>
      <c r="D34" s="20">
        <v>0</v>
      </c>
      <c r="E34" s="37">
        <v>0</v>
      </c>
      <c r="F34" s="20">
        <f>SUM(B34-C34)</f>
        <v>4104</v>
      </c>
      <c r="G34" s="22">
        <v>0</v>
      </c>
      <c r="H34" s="22">
        <f t="shared" si="6"/>
        <v>0.56842105263157894</v>
      </c>
      <c r="I34" s="61" t="s">
        <v>135</v>
      </c>
      <c r="J34" s="23">
        <v>38</v>
      </c>
      <c r="K34" s="25">
        <v>0</v>
      </c>
      <c r="L34" s="23" t="s">
        <v>56</v>
      </c>
    </row>
    <row r="35" spans="1:50" s="4" customFormat="1" ht="23.25">
      <c r="A35" s="56" t="s">
        <v>57</v>
      </c>
      <c r="B35" s="47">
        <f>SUM(B30:B34)</f>
        <v>22860</v>
      </c>
      <c r="C35" s="47">
        <f>SUM(C30:C34)</f>
        <v>10110</v>
      </c>
      <c r="D35" s="48">
        <f>SUM(D30:D34)</f>
        <v>0</v>
      </c>
      <c r="E35" s="63">
        <f>SUM(E30:E34)</f>
        <v>0</v>
      </c>
      <c r="F35" s="48">
        <f>SUM(F30:F34)-E35</f>
        <v>12750</v>
      </c>
      <c r="G35" s="50">
        <v>0</v>
      </c>
      <c r="H35" s="50">
        <f>SUM(H30:H34)/5</f>
        <v>0.59816933638443937</v>
      </c>
      <c r="I35" s="64" t="s">
        <v>51</v>
      </c>
      <c r="J35" s="65">
        <f>SUM(J30:J34)</f>
        <v>156</v>
      </c>
      <c r="K35" s="103"/>
      <c r="L35" s="103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</row>
    <row r="36" spans="1:50" ht="18">
      <c r="A36" s="9" t="s">
        <v>58</v>
      </c>
      <c r="B36" s="10" t="s">
        <v>1</v>
      </c>
      <c r="C36" s="10" t="s">
        <v>2</v>
      </c>
      <c r="D36" s="11" t="s">
        <v>3</v>
      </c>
      <c r="E36" s="11" t="s">
        <v>4</v>
      </c>
      <c r="F36" s="11" t="s">
        <v>5</v>
      </c>
      <c r="G36" s="12" t="s">
        <v>6</v>
      </c>
      <c r="H36" s="13" t="s">
        <v>7</v>
      </c>
      <c r="I36" s="14" t="s">
        <v>8</v>
      </c>
      <c r="J36" s="14" t="s">
        <v>9</v>
      </c>
      <c r="K36" s="67" t="s">
        <v>10</v>
      </c>
      <c r="L36" s="68" t="s">
        <v>11</v>
      </c>
    </row>
    <row r="37" spans="1:50" ht="20.25">
      <c r="A37" s="26" t="s">
        <v>59</v>
      </c>
      <c r="B37" s="36">
        <v>50</v>
      </c>
      <c r="C37" s="36">
        <v>15</v>
      </c>
      <c r="D37" s="20">
        <v>0</v>
      </c>
      <c r="E37" s="37"/>
      <c r="F37" s="20">
        <f>SUM(B37-C37)</f>
        <v>35</v>
      </c>
      <c r="G37" s="22">
        <v>0</v>
      </c>
      <c r="H37" s="22">
        <f t="shared" si="6"/>
        <v>0.7</v>
      </c>
      <c r="I37" s="61" t="s">
        <v>51</v>
      </c>
      <c r="J37" s="40">
        <v>1</v>
      </c>
      <c r="K37" s="69"/>
      <c r="L37" s="23" t="s">
        <v>60</v>
      </c>
    </row>
    <row r="38" spans="1:50" s="2" customFormat="1" ht="23.25">
      <c r="A38" s="46" t="s">
        <v>129</v>
      </c>
      <c r="B38" s="47">
        <f>SUM(B37:B37)</f>
        <v>50</v>
      </c>
      <c r="C38" s="47">
        <f>SUM(C37:C37)</f>
        <v>15</v>
      </c>
      <c r="D38" s="48">
        <f>SUM(D37:D37)</f>
        <v>0</v>
      </c>
      <c r="E38" s="57">
        <f>SUM(E37:E37)</f>
        <v>0</v>
      </c>
      <c r="F38" s="48">
        <f>SUM(F37:F37)-E38</f>
        <v>35</v>
      </c>
      <c r="G38" s="50">
        <v>0</v>
      </c>
      <c r="H38" s="50">
        <f>SUM(H37:H37)</f>
        <v>0.7</v>
      </c>
      <c r="I38" s="64" t="s">
        <v>51</v>
      </c>
      <c r="J38" s="58">
        <f>SUM(J37:J37)</f>
        <v>1</v>
      </c>
      <c r="K38" s="70"/>
      <c r="L38" s="52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spans="1:50" ht="18">
      <c r="A39" s="9" t="s">
        <v>61</v>
      </c>
      <c r="B39" s="10" t="s">
        <v>1</v>
      </c>
      <c r="C39" s="10" t="s">
        <v>2</v>
      </c>
      <c r="D39" s="11" t="s">
        <v>3</v>
      </c>
      <c r="E39" s="11" t="s">
        <v>4</v>
      </c>
      <c r="F39" s="11" t="s">
        <v>5</v>
      </c>
      <c r="G39" s="12" t="s">
        <v>6</v>
      </c>
      <c r="H39" s="13" t="s">
        <v>7</v>
      </c>
      <c r="I39" s="14">
        <v>0</v>
      </c>
      <c r="J39" s="14" t="s">
        <v>9</v>
      </c>
      <c r="K39" s="15" t="s">
        <v>10</v>
      </c>
      <c r="L39" s="14" t="s">
        <v>11</v>
      </c>
    </row>
    <row r="40" spans="1:50" ht="20.25">
      <c r="A40" s="42" t="s">
        <v>62</v>
      </c>
      <c r="B40" s="43">
        <v>7665</v>
      </c>
      <c r="C40" s="43">
        <v>1971</v>
      </c>
      <c r="D40" s="20">
        <v>0</v>
      </c>
      <c r="E40" s="37">
        <v>0</v>
      </c>
      <c r="F40" s="20">
        <f>SUM(B40-C40-D40)</f>
        <v>5694</v>
      </c>
      <c r="G40" s="71" t="s">
        <v>51</v>
      </c>
      <c r="H40" s="22">
        <f>SUM(F40/B40)*100%</f>
        <v>0.74285714285714288</v>
      </c>
      <c r="I40" s="40">
        <v>0</v>
      </c>
      <c r="J40" s="24">
        <v>219</v>
      </c>
      <c r="K40" s="25">
        <v>10</v>
      </c>
      <c r="L40" s="23" t="s">
        <v>63</v>
      </c>
    </row>
    <row r="41" spans="1:50" ht="20.25">
      <c r="A41" s="42" t="s">
        <v>62</v>
      </c>
      <c r="B41" s="36">
        <v>3400</v>
      </c>
      <c r="C41" s="36">
        <v>2000</v>
      </c>
      <c r="D41" s="20">
        <v>0</v>
      </c>
      <c r="E41" s="37">
        <v>0</v>
      </c>
      <c r="F41" s="20">
        <f>SUM(B41-C41-D41)</f>
        <v>1400</v>
      </c>
      <c r="G41" s="71" t="s">
        <v>51</v>
      </c>
      <c r="H41" s="22">
        <f>SUM(F41/B41)*100%</f>
        <v>0.41176470588235292</v>
      </c>
      <c r="I41" s="40">
        <v>0</v>
      </c>
      <c r="J41" s="24">
        <v>20</v>
      </c>
      <c r="K41" s="25">
        <v>10</v>
      </c>
      <c r="L41" s="23" t="s">
        <v>64</v>
      </c>
    </row>
    <row r="42" spans="1:50" s="2" customFormat="1" ht="24" thickBot="1">
      <c r="A42" s="56" t="s">
        <v>65</v>
      </c>
      <c r="B42" s="47">
        <f>SUM(B40:B41)</f>
        <v>11065</v>
      </c>
      <c r="C42" s="47">
        <f>SUM(C40:C41)</f>
        <v>3971</v>
      </c>
      <c r="D42" s="48">
        <f>SUM(D35:D41)</f>
        <v>0</v>
      </c>
      <c r="E42" s="57">
        <f>SUM(E35:E36)</f>
        <v>0</v>
      </c>
      <c r="F42" s="48">
        <f>SUM(F40,F41)</f>
        <v>7094</v>
      </c>
      <c r="G42" s="64" t="s">
        <v>51</v>
      </c>
      <c r="H42" s="50">
        <f>SUM(H40:H41)/2</f>
        <v>0.57731092436974785</v>
      </c>
      <c r="I42" s="50">
        <f>SUM(I40:I41)/3</f>
        <v>0</v>
      </c>
      <c r="J42" s="58">
        <f>SUM(J40:J41)</f>
        <v>239</v>
      </c>
      <c r="K42" s="58"/>
      <c r="L42" s="52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</row>
    <row r="43" spans="1:50" ht="21" thickBot="1">
      <c r="A43" s="26" t="s">
        <v>66</v>
      </c>
      <c r="B43" s="43">
        <v>1120</v>
      </c>
      <c r="C43" s="43">
        <v>256</v>
      </c>
      <c r="D43" s="20">
        <v>0</v>
      </c>
      <c r="E43" s="37"/>
      <c r="F43" s="20">
        <f t="shared" ref="F43:F48" si="7">SUM(B43-C43-D43)</f>
        <v>864</v>
      </c>
      <c r="G43" s="71" t="s">
        <v>51</v>
      </c>
      <c r="H43" s="22">
        <f>SUM(F42/B42)*100%</f>
        <v>0.64112065070040669</v>
      </c>
      <c r="I43" s="40">
        <v>0</v>
      </c>
      <c r="J43" s="24">
        <v>32</v>
      </c>
      <c r="K43" s="107">
        <v>1</v>
      </c>
      <c r="L43" s="23" t="s">
        <v>63</v>
      </c>
    </row>
    <row r="44" spans="1:50" ht="21" thickBot="1">
      <c r="A44" s="26" t="s">
        <v>66</v>
      </c>
      <c r="B44" s="43">
        <v>170</v>
      </c>
      <c r="C44" s="43">
        <v>90</v>
      </c>
      <c r="D44" s="20">
        <v>0</v>
      </c>
      <c r="E44" s="37"/>
      <c r="F44" s="20">
        <f t="shared" si="7"/>
        <v>80</v>
      </c>
      <c r="G44" s="71" t="s">
        <v>51</v>
      </c>
      <c r="H44" s="22">
        <f>SUM(F43/B43)*100%</f>
        <v>0.77142857142857146</v>
      </c>
      <c r="I44" s="40">
        <v>0</v>
      </c>
      <c r="J44" s="24">
        <v>1</v>
      </c>
      <c r="K44" s="108"/>
      <c r="L44" s="23" t="s">
        <v>64</v>
      </c>
    </row>
    <row r="45" spans="1:50" ht="21" thickBot="1">
      <c r="A45" s="26" t="s">
        <v>66</v>
      </c>
      <c r="B45" s="43">
        <v>990</v>
      </c>
      <c r="C45" s="43">
        <v>585</v>
      </c>
      <c r="D45" s="20">
        <v>0</v>
      </c>
      <c r="E45" s="37"/>
      <c r="F45" s="20">
        <f t="shared" si="7"/>
        <v>405</v>
      </c>
      <c r="G45" s="71" t="s">
        <v>51</v>
      </c>
      <c r="H45" s="22">
        <f t="shared" ref="H45:H48" si="8">SUM(F45/B45)*100%</f>
        <v>0.40909090909090912</v>
      </c>
      <c r="I45" s="40">
        <v>0</v>
      </c>
      <c r="J45" s="24">
        <v>9</v>
      </c>
      <c r="K45" s="108"/>
      <c r="L45" s="23" t="s">
        <v>67</v>
      </c>
    </row>
    <row r="46" spans="1:50" ht="21" thickBot="1">
      <c r="A46" s="26" t="s">
        <v>66</v>
      </c>
      <c r="B46" s="43">
        <v>3060</v>
      </c>
      <c r="C46" s="43">
        <v>1620</v>
      </c>
      <c r="D46" s="20">
        <v>0</v>
      </c>
      <c r="E46" s="37"/>
      <c r="F46" s="20">
        <f t="shared" si="7"/>
        <v>1440</v>
      </c>
      <c r="G46" s="71" t="s">
        <v>51</v>
      </c>
      <c r="H46" s="22">
        <f t="shared" si="8"/>
        <v>0.47058823529411764</v>
      </c>
      <c r="I46" s="40">
        <v>0</v>
      </c>
      <c r="J46" s="24">
        <v>18</v>
      </c>
      <c r="K46" s="108"/>
      <c r="L46" s="23" t="s">
        <v>68</v>
      </c>
    </row>
    <row r="47" spans="1:50" ht="21" thickBot="1">
      <c r="A47" s="26" t="s">
        <v>66</v>
      </c>
      <c r="B47" s="43">
        <v>120</v>
      </c>
      <c r="C47" s="43">
        <v>70</v>
      </c>
      <c r="D47" s="20">
        <v>0</v>
      </c>
      <c r="E47" s="37"/>
      <c r="F47" s="20">
        <f t="shared" si="7"/>
        <v>50</v>
      </c>
      <c r="G47" s="71" t="s">
        <v>51</v>
      </c>
      <c r="H47" s="22">
        <f>SUM(F47/B47)*100%</f>
        <v>0.41666666666666669</v>
      </c>
      <c r="I47" s="40">
        <v>0</v>
      </c>
      <c r="J47" s="24">
        <v>1</v>
      </c>
      <c r="K47" s="108"/>
      <c r="L47" s="23" t="s">
        <v>138</v>
      </c>
    </row>
    <row r="48" spans="1:50" ht="21" thickBot="1">
      <c r="A48" s="26" t="s">
        <v>66</v>
      </c>
      <c r="B48" s="43">
        <v>1200</v>
      </c>
      <c r="C48" s="43">
        <v>600</v>
      </c>
      <c r="D48" s="20">
        <v>0</v>
      </c>
      <c r="E48" s="37"/>
      <c r="F48" s="20">
        <f t="shared" si="7"/>
        <v>600</v>
      </c>
      <c r="G48" s="71" t="s">
        <v>51</v>
      </c>
      <c r="H48" s="22">
        <f t="shared" si="8"/>
        <v>0.5</v>
      </c>
      <c r="I48" s="40">
        <v>0</v>
      </c>
      <c r="J48" s="24">
        <v>6</v>
      </c>
      <c r="K48" s="109"/>
      <c r="L48" s="23" t="s">
        <v>69</v>
      </c>
    </row>
    <row r="49" spans="1:50" s="2" customFormat="1" ht="23.25">
      <c r="A49" s="56" t="s">
        <v>70</v>
      </c>
      <c r="B49" s="47">
        <f>SUM(B43:B48)</f>
        <v>6660</v>
      </c>
      <c r="C49" s="47">
        <f>SUM(C43:C48)</f>
        <v>3221</v>
      </c>
      <c r="D49" s="48">
        <f>SUM(D43:D48)</f>
        <v>0</v>
      </c>
      <c r="E49" s="48">
        <f>SUM(E43:E48)</f>
        <v>0</v>
      </c>
      <c r="F49" s="48">
        <f>SUM(F43:F48)</f>
        <v>3439</v>
      </c>
      <c r="G49" s="64" t="s">
        <v>51</v>
      </c>
      <c r="H49" s="50">
        <f>SUM(H43:H48)/6</f>
        <v>0.5348158388634453</v>
      </c>
      <c r="I49" s="58">
        <v>0</v>
      </c>
      <c r="J49" s="51">
        <f>SUM(J43:J48)</f>
        <v>67</v>
      </c>
      <c r="K49" s="51">
        <f>SUM(K43:K48)</f>
        <v>1</v>
      </c>
      <c r="L49" s="52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</row>
    <row r="50" spans="1:50" ht="18">
      <c r="A50" s="9" t="s">
        <v>71</v>
      </c>
      <c r="B50" s="10" t="s">
        <v>1</v>
      </c>
      <c r="C50" s="10" t="s">
        <v>2</v>
      </c>
      <c r="D50" s="11" t="s">
        <v>3</v>
      </c>
      <c r="E50" s="11" t="s">
        <v>4</v>
      </c>
      <c r="F50" s="11" t="s">
        <v>5</v>
      </c>
      <c r="G50" s="12" t="s">
        <v>6</v>
      </c>
      <c r="H50" s="13" t="s">
        <v>7</v>
      </c>
      <c r="I50" s="14" t="s">
        <v>8</v>
      </c>
      <c r="J50" s="14" t="s">
        <v>9</v>
      </c>
      <c r="K50" s="15" t="s">
        <v>10</v>
      </c>
      <c r="L50" s="14" t="s">
        <v>11</v>
      </c>
    </row>
    <row r="51" spans="1:50" ht="20.25">
      <c r="A51" s="26" t="s">
        <v>72</v>
      </c>
      <c r="B51" s="36">
        <v>1500</v>
      </c>
      <c r="C51" s="36">
        <v>799.2</v>
      </c>
      <c r="D51" s="20">
        <v>0</v>
      </c>
      <c r="E51" s="37">
        <v>0</v>
      </c>
      <c r="F51" s="20">
        <f>SUM(B51-C51-D51)</f>
        <v>700.8</v>
      </c>
      <c r="G51" s="71" t="s">
        <v>51</v>
      </c>
      <c r="H51" s="22">
        <f t="shared" ref="H51:H65" si="9">SUM(F51/B51)*100%</f>
        <v>0.46719999999999995</v>
      </c>
      <c r="I51" s="23">
        <v>0</v>
      </c>
      <c r="J51" s="23">
        <v>6</v>
      </c>
      <c r="K51" s="107">
        <v>8</v>
      </c>
      <c r="L51" s="23" t="s">
        <v>73</v>
      </c>
    </row>
    <row r="52" spans="1:50" ht="20.25">
      <c r="A52" s="26" t="s">
        <v>72</v>
      </c>
      <c r="B52" s="36">
        <v>776</v>
      </c>
      <c r="C52" s="36">
        <v>367</v>
      </c>
      <c r="D52" s="20">
        <v>0</v>
      </c>
      <c r="E52" s="37">
        <v>0</v>
      </c>
      <c r="F52" s="20">
        <f>SUM(B52-C52-D52)</f>
        <v>409</v>
      </c>
      <c r="G52" s="71" t="s">
        <v>51</v>
      </c>
      <c r="H52" s="22">
        <f t="shared" si="9"/>
        <v>0.52706185567010311</v>
      </c>
      <c r="I52" s="23">
        <v>0</v>
      </c>
      <c r="J52" s="23">
        <v>2</v>
      </c>
      <c r="K52" s="108"/>
      <c r="L52" s="23" t="s">
        <v>74</v>
      </c>
    </row>
    <row r="53" spans="1:50" ht="20.25">
      <c r="A53" s="26" t="s">
        <v>72</v>
      </c>
      <c r="B53" s="36">
        <v>5432</v>
      </c>
      <c r="C53" s="36">
        <v>2956.8</v>
      </c>
      <c r="D53" s="20">
        <v>0</v>
      </c>
      <c r="E53" s="37">
        <v>0</v>
      </c>
      <c r="F53" s="20">
        <f>SUM(B53-C53-D53)</f>
        <v>2475.1999999999998</v>
      </c>
      <c r="G53" s="71" t="s">
        <v>51</v>
      </c>
      <c r="H53" s="22">
        <f t="shared" si="9"/>
        <v>0.4556701030927835</v>
      </c>
      <c r="I53" s="23">
        <v>0</v>
      </c>
      <c r="J53" s="23">
        <v>14</v>
      </c>
      <c r="K53" s="108"/>
      <c r="L53" s="23" t="s">
        <v>75</v>
      </c>
    </row>
    <row r="54" spans="1:50" ht="20.25">
      <c r="A54" s="26" t="s">
        <v>72</v>
      </c>
      <c r="B54" s="36">
        <v>1840</v>
      </c>
      <c r="C54" s="36">
        <v>1003.2</v>
      </c>
      <c r="D54" s="20">
        <v>0</v>
      </c>
      <c r="E54" s="37">
        <v>0</v>
      </c>
      <c r="F54" s="20">
        <f>SUM(B54-C54-D54)</f>
        <v>836.8</v>
      </c>
      <c r="G54" s="71" t="s">
        <v>51</v>
      </c>
      <c r="H54" s="22">
        <f t="shared" si="9"/>
        <v>0.45478260869565212</v>
      </c>
      <c r="I54" s="23">
        <v>0</v>
      </c>
      <c r="J54" s="23">
        <v>4</v>
      </c>
      <c r="K54" s="108"/>
      <c r="L54" s="23" t="s">
        <v>76</v>
      </c>
    </row>
    <row r="55" spans="1:50" ht="20.25">
      <c r="A55" s="26" t="s">
        <v>72</v>
      </c>
      <c r="B55" s="36">
        <v>655</v>
      </c>
      <c r="C55" s="36">
        <v>356.4</v>
      </c>
      <c r="D55" s="20">
        <v>0</v>
      </c>
      <c r="E55" s="37">
        <v>0</v>
      </c>
      <c r="F55" s="20">
        <f>SUM(B55-C55-D55)</f>
        <v>298.60000000000002</v>
      </c>
      <c r="G55" s="71" t="s">
        <v>51</v>
      </c>
      <c r="H55" s="22">
        <f t="shared" si="9"/>
        <v>0.4558778625954199</v>
      </c>
      <c r="I55" s="23">
        <v>0</v>
      </c>
      <c r="J55" s="23">
        <v>1</v>
      </c>
      <c r="K55" s="109"/>
      <c r="L55" s="23" t="s">
        <v>131</v>
      </c>
    </row>
    <row r="56" spans="1:50" s="2" customFormat="1" ht="23.25">
      <c r="A56" s="56" t="s">
        <v>77</v>
      </c>
      <c r="B56" s="47">
        <f>SUM(B51:B55)</f>
        <v>10203</v>
      </c>
      <c r="C56" s="47">
        <f>SUM(C51:C55)</f>
        <v>5482.5999999999995</v>
      </c>
      <c r="D56" s="48">
        <f>SUM(D51:D55)</f>
        <v>0</v>
      </c>
      <c r="E56" s="57">
        <f>SUM(E51:E55)</f>
        <v>0</v>
      </c>
      <c r="F56" s="48">
        <f>SUM(F51:F55)-E56</f>
        <v>4720.4000000000005</v>
      </c>
      <c r="G56" s="64" t="s">
        <v>51</v>
      </c>
      <c r="H56" s="50">
        <f>SUM(H51:H55)/5</f>
        <v>0.47211848601079176</v>
      </c>
      <c r="I56" s="51">
        <v>0</v>
      </c>
      <c r="J56" s="51">
        <f>SUM(J51:J55)</f>
        <v>27</v>
      </c>
      <c r="K56" s="51">
        <f>SUM(K51:K55)</f>
        <v>8</v>
      </c>
      <c r="L56" s="52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spans="1:50" ht="18">
      <c r="A57" s="9" t="s">
        <v>78</v>
      </c>
      <c r="B57" s="10" t="s">
        <v>1</v>
      </c>
      <c r="C57" s="10" t="s">
        <v>2</v>
      </c>
      <c r="D57" s="11" t="s">
        <v>3</v>
      </c>
      <c r="E57" s="11" t="s">
        <v>4</v>
      </c>
      <c r="F57" s="11" t="s">
        <v>5</v>
      </c>
      <c r="G57" s="12" t="s">
        <v>6</v>
      </c>
      <c r="H57" s="13" t="s">
        <v>7</v>
      </c>
      <c r="I57" s="14" t="s">
        <v>8</v>
      </c>
      <c r="J57" s="14" t="s">
        <v>9</v>
      </c>
      <c r="K57" s="15" t="s">
        <v>10</v>
      </c>
      <c r="L57" s="14" t="s">
        <v>11</v>
      </c>
    </row>
    <row r="58" spans="1:50" ht="20.25">
      <c r="A58" s="26" t="s">
        <v>79</v>
      </c>
      <c r="B58" s="36">
        <v>8510</v>
      </c>
      <c r="C58" s="36">
        <v>4600</v>
      </c>
      <c r="D58" s="20">
        <v>0</v>
      </c>
      <c r="E58" s="37">
        <v>0</v>
      </c>
      <c r="F58" s="20">
        <f t="shared" ref="F58:F65" si="10">SUM(B58-C58-D58)</f>
        <v>3910</v>
      </c>
      <c r="G58" s="71" t="s">
        <v>51</v>
      </c>
      <c r="H58" s="22">
        <f>SUM(F58/B58)*100%</f>
        <v>0.45945945945945948</v>
      </c>
      <c r="I58" s="23">
        <v>0</v>
      </c>
      <c r="J58" s="23">
        <v>23</v>
      </c>
      <c r="K58" s="100">
        <v>3</v>
      </c>
      <c r="L58" s="23" t="s">
        <v>80</v>
      </c>
    </row>
    <row r="59" spans="1:50" ht="20.25">
      <c r="A59" s="26" t="s">
        <v>79</v>
      </c>
      <c r="B59" s="36">
        <v>3990</v>
      </c>
      <c r="C59" s="36">
        <v>2100</v>
      </c>
      <c r="D59" s="20">
        <v>0</v>
      </c>
      <c r="E59" s="37">
        <v>0</v>
      </c>
      <c r="F59" s="20">
        <f t="shared" si="10"/>
        <v>1890</v>
      </c>
      <c r="G59" s="71" t="s">
        <v>51</v>
      </c>
      <c r="H59" s="22">
        <f>SUM(F59/B59)*100%</f>
        <v>0.47368421052631576</v>
      </c>
      <c r="I59" s="23">
        <v>0</v>
      </c>
      <c r="J59" s="23">
        <v>7</v>
      </c>
      <c r="K59" s="101"/>
      <c r="L59" s="23" t="s">
        <v>81</v>
      </c>
    </row>
    <row r="60" spans="1:50" ht="20.25">
      <c r="A60" s="26" t="s">
        <v>79</v>
      </c>
      <c r="B60" s="36">
        <v>16165</v>
      </c>
      <c r="C60" s="36">
        <v>9150</v>
      </c>
      <c r="D60" s="20">
        <v>0</v>
      </c>
      <c r="E60" s="37">
        <v>0</v>
      </c>
      <c r="F60" s="20">
        <f t="shared" si="10"/>
        <v>7015</v>
      </c>
      <c r="G60" s="71" t="s">
        <v>51</v>
      </c>
      <c r="H60" s="22">
        <f t="shared" si="9"/>
        <v>0.43396226415094341</v>
      </c>
      <c r="I60" s="23">
        <v>0</v>
      </c>
      <c r="J60" s="23">
        <v>61</v>
      </c>
      <c r="K60" s="101"/>
      <c r="L60" s="23" t="s">
        <v>82</v>
      </c>
    </row>
    <row r="61" spans="1:50" ht="20.25">
      <c r="A61" s="26" t="s">
        <v>79</v>
      </c>
      <c r="B61" s="36">
        <v>5940</v>
      </c>
      <c r="C61" s="36">
        <v>3212</v>
      </c>
      <c r="D61" s="20">
        <v>0</v>
      </c>
      <c r="E61" s="37">
        <v>0</v>
      </c>
      <c r="F61" s="20">
        <f t="shared" si="10"/>
        <v>2728</v>
      </c>
      <c r="G61" s="71" t="s">
        <v>51</v>
      </c>
      <c r="H61" s="22">
        <f t="shared" si="9"/>
        <v>0.45925925925925926</v>
      </c>
      <c r="I61" s="23">
        <v>0</v>
      </c>
      <c r="J61" s="23">
        <v>11</v>
      </c>
      <c r="K61" s="101"/>
      <c r="L61" s="23" t="s">
        <v>83</v>
      </c>
    </row>
    <row r="62" spans="1:50" ht="21" thickBot="1">
      <c r="A62" s="26" t="s">
        <v>79</v>
      </c>
      <c r="B62" s="36">
        <v>3720</v>
      </c>
      <c r="C62" s="36">
        <v>2040</v>
      </c>
      <c r="D62" s="20">
        <v>0</v>
      </c>
      <c r="E62" s="37">
        <v>0</v>
      </c>
      <c r="F62" s="20">
        <f t="shared" si="10"/>
        <v>1680</v>
      </c>
      <c r="G62" s="71" t="s">
        <v>51</v>
      </c>
      <c r="H62" s="22">
        <f t="shared" si="9"/>
        <v>0.45161290322580644</v>
      </c>
      <c r="I62" s="23">
        <v>0</v>
      </c>
      <c r="J62" s="23">
        <v>6</v>
      </c>
      <c r="K62" s="101"/>
      <c r="L62" s="23" t="s">
        <v>84</v>
      </c>
    </row>
    <row r="63" spans="1:50" ht="21" thickBot="1">
      <c r="A63" s="26" t="s">
        <v>79</v>
      </c>
      <c r="B63" s="36">
        <v>540</v>
      </c>
      <c r="C63" s="36">
        <v>292</v>
      </c>
      <c r="D63" s="20">
        <v>0</v>
      </c>
      <c r="E63" s="37"/>
      <c r="F63" s="20">
        <f t="shared" si="10"/>
        <v>248</v>
      </c>
      <c r="G63" s="71" t="s">
        <v>51</v>
      </c>
      <c r="H63" s="22">
        <f t="shared" si="9"/>
        <v>0.45925925925925926</v>
      </c>
      <c r="I63" s="23">
        <v>0</v>
      </c>
      <c r="J63" s="23">
        <v>1</v>
      </c>
      <c r="K63" s="101"/>
      <c r="L63" s="23" t="s">
        <v>139</v>
      </c>
    </row>
    <row r="64" spans="1:50" ht="21" thickBot="1">
      <c r="A64" s="26" t="s">
        <v>79</v>
      </c>
      <c r="B64" s="36">
        <v>3240</v>
      </c>
      <c r="C64" s="36">
        <v>1752</v>
      </c>
      <c r="D64" s="20">
        <v>0</v>
      </c>
      <c r="E64" s="37">
        <v>0</v>
      </c>
      <c r="F64" s="20">
        <f t="shared" si="10"/>
        <v>1488</v>
      </c>
      <c r="G64" s="71" t="s">
        <v>51</v>
      </c>
      <c r="H64" s="22">
        <f t="shared" si="9"/>
        <v>0.45925925925925926</v>
      </c>
      <c r="I64" s="23">
        <v>0</v>
      </c>
      <c r="J64" s="23">
        <v>6</v>
      </c>
      <c r="K64" s="101"/>
      <c r="L64" s="23" t="s">
        <v>85</v>
      </c>
    </row>
    <row r="65" spans="1:50" ht="21" thickBot="1">
      <c r="A65" s="26" t="s">
        <v>79</v>
      </c>
      <c r="B65" s="36">
        <v>2880</v>
      </c>
      <c r="C65" s="36">
        <v>1440</v>
      </c>
      <c r="D65" s="20">
        <v>0</v>
      </c>
      <c r="E65" s="37">
        <v>0</v>
      </c>
      <c r="F65" s="20">
        <f t="shared" si="10"/>
        <v>1440</v>
      </c>
      <c r="G65" s="71" t="s">
        <v>51</v>
      </c>
      <c r="H65" s="22">
        <f t="shared" si="9"/>
        <v>0.5</v>
      </c>
      <c r="I65" s="23">
        <v>0</v>
      </c>
      <c r="J65" s="23">
        <v>3</v>
      </c>
      <c r="K65" s="102"/>
      <c r="L65" s="23" t="s">
        <v>86</v>
      </c>
    </row>
    <row r="66" spans="1:50" s="2" customFormat="1" ht="24" thickBot="1">
      <c r="A66" s="46" t="s">
        <v>140</v>
      </c>
      <c r="B66" s="47">
        <f>SUM(B58:B65)</f>
        <v>44985</v>
      </c>
      <c r="C66" s="47">
        <f>SUM(C58:C65)</f>
        <v>24586</v>
      </c>
      <c r="D66" s="48">
        <f>SUM(D61:D65)</f>
        <v>0</v>
      </c>
      <c r="E66" s="57">
        <f>SUM(E61:E65)</f>
        <v>0</v>
      </c>
      <c r="F66" s="48">
        <f>SUM(F58:F65)-E66</f>
        <v>20399</v>
      </c>
      <c r="G66" s="64" t="s">
        <v>51</v>
      </c>
      <c r="H66" s="50">
        <f>SUM(H58:H65)/8</f>
        <v>0.46206207689253787</v>
      </c>
      <c r="I66" s="51">
        <v>0</v>
      </c>
      <c r="J66" s="51">
        <f>SUM(J58:J65)</f>
        <v>118</v>
      </c>
      <c r="K66" s="51">
        <f>SUM(K58)</f>
        <v>3</v>
      </c>
      <c r="L66" s="52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</row>
    <row r="67" spans="1:50" ht="18.75" thickBot="1">
      <c r="A67" s="9" t="s">
        <v>87</v>
      </c>
      <c r="B67" s="10" t="s">
        <v>1</v>
      </c>
      <c r="C67" s="10" t="s">
        <v>2</v>
      </c>
      <c r="D67" s="11" t="s">
        <v>3</v>
      </c>
      <c r="E67" s="11" t="s">
        <v>4</v>
      </c>
      <c r="F67" s="11" t="s">
        <v>5</v>
      </c>
      <c r="G67" s="12" t="s">
        <v>6</v>
      </c>
      <c r="H67" s="13" t="s">
        <v>7</v>
      </c>
      <c r="I67" s="14" t="s">
        <v>8</v>
      </c>
      <c r="J67" s="14" t="s">
        <v>9</v>
      </c>
      <c r="K67" s="15" t="s">
        <v>10</v>
      </c>
      <c r="L67" s="14" t="s">
        <v>11</v>
      </c>
    </row>
    <row r="68" spans="1:50" ht="20.25">
      <c r="A68" s="42" t="s">
        <v>88</v>
      </c>
      <c r="B68" s="36">
        <f>SUM(J68*90)</f>
        <v>990</v>
      </c>
      <c r="C68" s="36">
        <f>SUM(J68*45)</f>
        <v>495</v>
      </c>
      <c r="D68" s="20">
        <v>0</v>
      </c>
      <c r="E68" s="37">
        <v>0</v>
      </c>
      <c r="F68" s="20">
        <f>SUM(B68-C68)</f>
        <v>495</v>
      </c>
      <c r="G68" s="71" t="s">
        <v>51</v>
      </c>
      <c r="H68" s="22">
        <f>SUM(F68/B68)*100%</f>
        <v>0.5</v>
      </c>
      <c r="I68" s="23">
        <v>0</v>
      </c>
      <c r="J68" s="23">
        <v>11</v>
      </c>
      <c r="K68" s="25">
        <v>2</v>
      </c>
      <c r="L68" s="23" t="s">
        <v>89</v>
      </c>
    </row>
    <row r="69" spans="1:50" s="2" customFormat="1" ht="23.25">
      <c r="A69" s="46" t="s">
        <v>90</v>
      </c>
      <c r="B69" s="47">
        <f>SUM(B67:B68)</f>
        <v>990</v>
      </c>
      <c r="C69" s="47">
        <f>SUM(C67:C68)</f>
        <v>495</v>
      </c>
      <c r="D69" s="48">
        <f>SUM(D68:D68)</f>
        <v>0</v>
      </c>
      <c r="E69" s="48">
        <v>0</v>
      </c>
      <c r="F69" s="48">
        <f>SUM(F67:F68)</f>
        <v>495</v>
      </c>
      <c r="G69" s="64" t="s">
        <v>51</v>
      </c>
      <c r="H69" s="54">
        <f>SUM(H67:H68)</f>
        <v>0.5</v>
      </c>
      <c r="I69" s="51">
        <v>0</v>
      </c>
      <c r="J69" s="51">
        <f>SUM(J67:J68)</f>
        <v>11</v>
      </c>
      <c r="K69" s="51">
        <f>SUM(K68:K68)</f>
        <v>2</v>
      </c>
      <c r="L69" s="52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</row>
    <row r="70" spans="1:50" ht="18">
      <c r="A70" s="9" t="s">
        <v>91</v>
      </c>
      <c r="B70" s="10" t="s">
        <v>1</v>
      </c>
      <c r="C70" s="10" t="s">
        <v>2</v>
      </c>
      <c r="D70" s="11" t="s">
        <v>3</v>
      </c>
      <c r="E70" s="11" t="s">
        <v>4</v>
      </c>
      <c r="F70" s="11" t="s">
        <v>5</v>
      </c>
      <c r="G70" s="12" t="s">
        <v>6</v>
      </c>
      <c r="H70" s="13" t="s">
        <v>7</v>
      </c>
      <c r="I70" s="14" t="s">
        <v>8</v>
      </c>
      <c r="J70" s="14" t="s">
        <v>9</v>
      </c>
      <c r="K70" s="15" t="s">
        <v>10</v>
      </c>
      <c r="L70" s="14" t="s">
        <v>11</v>
      </c>
    </row>
    <row r="71" spans="1:50" ht="20.25">
      <c r="A71" s="42" t="s">
        <v>92</v>
      </c>
      <c r="B71" s="36">
        <v>3210</v>
      </c>
      <c r="C71" s="36">
        <v>1500</v>
      </c>
      <c r="D71" s="20">
        <v>0</v>
      </c>
      <c r="E71" s="77">
        <v>0</v>
      </c>
      <c r="F71" s="20">
        <f>SUM(B71-C71-D71)</f>
        <v>1710</v>
      </c>
      <c r="G71" s="71" t="s">
        <v>51</v>
      </c>
      <c r="H71" s="22">
        <f>SUM(F71/B71)*100%</f>
        <v>0.53271028037383172</v>
      </c>
      <c r="I71" s="23">
        <v>0</v>
      </c>
      <c r="J71" s="23">
        <v>2</v>
      </c>
      <c r="K71" s="100">
        <v>1</v>
      </c>
      <c r="L71" s="23" t="s">
        <v>93</v>
      </c>
    </row>
    <row r="72" spans="1:50" ht="20.25">
      <c r="A72" s="42" t="s">
        <v>92</v>
      </c>
      <c r="B72" s="36">
        <v>1920</v>
      </c>
      <c r="C72" s="36">
        <v>870</v>
      </c>
      <c r="D72" s="20">
        <v>0</v>
      </c>
      <c r="E72" s="77"/>
      <c r="F72" s="20">
        <f>SUM(B72-C72-D72)</f>
        <v>1050</v>
      </c>
      <c r="G72" s="71" t="s">
        <v>51</v>
      </c>
      <c r="H72" s="22">
        <f>SUM(F72/B72)*100%</f>
        <v>0.546875</v>
      </c>
      <c r="I72" s="23">
        <v>0</v>
      </c>
      <c r="J72" s="23">
        <v>6</v>
      </c>
      <c r="K72" s="102"/>
      <c r="L72" s="23" t="s">
        <v>94</v>
      </c>
    </row>
    <row r="73" spans="1:50" s="2" customFormat="1" ht="23.25">
      <c r="A73" s="46" t="s">
        <v>95</v>
      </c>
      <c r="B73" s="47">
        <f>SUM(B71:B72)</f>
        <v>5130</v>
      </c>
      <c r="C73" s="47">
        <f>SUM(C71:C72)</f>
        <v>2370</v>
      </c>
      <c r="D73" s="48">
        <f>SUM(D72:D72)</f>
        <v>0</v>
      </c>
      <c r="E73" s="48">
        <v>0</v>
      </c>
      <c r="F73" s="48">
        <f>SUM(F71:F72)</f>
        <v>2760</v>
      </c>
      <c r="G73" s="64" t="s">
        <v>51</v>
      </c>
      <c r="H73" s="54">
        <f>SUM(H71:H72)/2</f>
        <v>0.53979264018691586</v>
      </c>
      <c r="I73" s="51">
        <v>0</v>
      </c>
      <c r="J73" s="51">
        <f>SUM(J71:J72)</f>
        <v>8</v>
      </c>
      <c r="K73" s="51">
        <f>SUM(K71)</f>
        <v>1</v>
      </c>
      <c r="L73" s="52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</row>
    <row r="74" spans="1:50" ht="18.75" thickBot="1">
      <c r="A74" s="9" t="s">
        <v>96</v>
      </c>
      <c r="B74" s="10" t="s">
        <v>1</v>
      </c>
      <c r="C74" s="10" t="s">
        <v>2</v>
      </c>
      <c r="D74" s="11" t="s">
        <v>3</v>
      </c>
      <c r="E74" s="11" t="s">
        <v>4</v>
      </c>
      <c r="F74" s="11" t="s">
        <v>5</v>
      </c>
      <c r="G74" s="12" t="s">
        <v>6</v>
      </c>
      <c r="H74" s="13" t="s">
        <v>7</v>
      </c>
      <c r="I74" s="14" t="s">
        <v>8</v>
      </c>
      <c r="J74" s="14" t="s">
        <v>9</v>
      </c>
      <c r="K74" s="15" t="s">
        <v>10</v>
      </c>
      <c r="L74" s="14" t="s">
        <v>11</v>
      </c>
    </row>
    <row r="75" spans="1:50" ht="21" thickBot="1">
      <c r="A75" s="16" t="s">
        <v>134</v>
      </c>
      <c r="B75" s="72">
        <v>277</v>
      </c>
      <c r="C75" s="72">
        <v>150</v>
      </c>
      <c r="D75" s="73">
        <v>0</v>
      </c>
      <c r="E75" s="37">
        <v>0</v>
      </c>
      <c r="F75" s="73">
        <f>SUM(B75-C75-D75)</f>
        <v>127</v>
      </c>
      <c r="G75" s="74" t="s">
        <v>132</v>
      </c>
      <c r="H75" s="75">
        <f>SUM(F75/B75)*100%</f>
        <v>0.4584837545126354</v>
      </c>
      <c r="I75" s="76">
        <v>0</v>
      </c>
      <c r="J75" s="76">
        <v>1</v>
      </c>
      <c r="K75" s="76">
        <v>5</v>
      </c>
      <c r="L75" s="76" t="s">
        <v>133</v>
      </c>
    </row>
    <row r="76" spans="1:50" ht="21" thickBot="1">
      <c r="A76" s="16" t="s">
        <v>97</v>
      </c>
      <c r="B76" s="72">
        <f>SUM(J76*277)</f>
        <v>19667</v>
      </c>
      <c r="C76" s="72">
        <v>9230</v>
      </c>
      <c r="D76" s="73">
        <v>0</v>
      </c>
      <c r="E76" s="37">
        <v>0</v>
      </c>
      <c r="F76" s="73">
        <f>SUM(B76-C76-D76)</f>
        <v>10437</v>
      </c>
      <c r="G76" s="74" t="s">
        <v>51</v>
      </c>
      <c r="H76" s="75">
        <f>SUM(F76/B76)*100%</f>
        <v>0.53068592057761732</v>
      </c>
      <c r="I76" s="76">
        <v>0</v>
      </c>
      <c r="J76" s="76">
        <v>71</v>
      </c>
      <c r="K76" s="76">
        <v>5</v>
      </c>
      <c r="L76" s="76" t="s">
        <v>98</v>
      </c>
    </row>
    <row r="77" spans="1:50" s="2" customFormat="1" ht="23.25">
      <c r="A77" s="56" t="s">
        <v>99</v>
      </c>
      <c r="B77" s="47">
        <f>SUM(B76:B76)</f>
        <v>19667</v>
      </c>
      <c r="C77" s="47">
        <f>SUM(C76:C76)</f>
        <v>9230</v>
      </c>
      <c r="D77" s="48">
        <f>SUM(D76:D76)</f>
        <v>0</v>
      </c>
      <c r="E77" s="48">
        <v>0</v>
      </c>
      <c r="F77" s="48">
        <f>SUM(F76:F76)-E77</f>
        <v>10437</v>
      </c>
      <c r="G77" s="64" t="s">
        <v>51</v>
      </c>
      <c r="H77" s="54">
        <f>SUM(H76:H76)</f>
        <v>0.53068592057761732</v>
      </c>
      <c r="I77" s="51">
        <v>0</v>
      </c>
      <c r="J77" s="51">
        <f>SUM(J76:J76)</f>
        <v>71</v>
      </c>
      <c r="K77" s="51">
        <f>SUM(K76:K76)</f>
        <v>5</v>
      </c>
      <c r="L77" s="52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</row>
    <row r="78" spans="1:50" ht="18">
      <c r="A78" s="9" t="s">
        <v>100</v>
      </c>
      <c r="B78" s="10" t="s">
        <v>1</v>
      </c>
      <c r="C78" s="10" t="s">
        <v>2</v>
      </c>
      <c r="D78" s="11" t="s">
        <v>3</v>
      </c>
      <c r="E78" s="11" t="s">
        <v>4</v>
      </c>
      <c r="F78" s="11" t="s">
        <v>5</v>
      </c>
      <c r="G78" s="12" t="s">
        <v>6</v>
      </c>
      <c r="H78" s="13" t="s">
        <v>7</v>
      </c>
      <c r="I78" s="14" t="s">
        <v>8</v>
      </c>
      <c r="J78" s="14" t="s">
        <v>9</v>
      </c>
      <c r="K78" s="15" t="s">
        <v>10</v>
      </c>
      <c r="L78" s="14" t="s">
        <v>11</v>
      </c>
    </row>
    <row r="79" spans="1:50" ht="20.25">
      <c r="A79" s="26" t="s">
        <v>101</v>
      </c>
      <c r="B79" s="36">
        <v>9160</v>
      </c>
      <c r="C79" s="36">
        <v>7232</v>
      </c>
      <c r="D79" s="90">
        <v>600</v>
      </c>
      <c r="E79" s="37">
        <v>0</v>
      </c>
      <c r="F79" s="20">
        <f>SUM(B79-C79-D79)</f>
        <v>1328</v>
      </c>
      <c r="G79" s="61" t="s">
        <v>51</v>
      </c>
      <c r="H79" s="22">
        <f>SUM(F79/B79)*100%</f>
        <v>0.14497816593886462</v>
      </c>
      <c r="I79" s="23">
        <v>229</v>
      </c>
      <c r="J79" s="23">
        <v>0</v>
      </c>
      <c r="K79" s="23">
        <v>10</v>
      </c>
      <c r="L79" s="23" t="s">
        <v>15</v>
      </c>
    </row>
    <row r="80" spans="1:50" s="1" customFormat="1" ht="20.25">
      <c r="A80" s="16" t="s">
        <v>66</v>
      </c>
      <c r="B80" s="36">
        <v>1360</v>
      </c>
      <c r="C80" s="97">
        <v>1575</v>
      </c>
      <c r="D80" s="90">
        <v>0</v>
      </c>
      <c r="E80" s="37">
        <v>0</v>
      </c>
      <c r="F80" s="98">
        <f t="shared" ref="F80:F100" si="11">SUM(B80-C80-D80)</f>
        <v>-215</v>
      </c>
      <c r="G80" s="61" t="s">
        <v>51</v>
      </c>
      <c r="H80" s="99">
        <f t="shared" ref="H80:H100" si="12">SUM(F80/B80)*100%</f>
        <v>-0.15808823529411764</v>
      </c>
      <c r="I80" s="24">
        <v>34</v>
      </c>
      <c r="J80" s="24">
        <v>0</v>
      </c>
      <c r="K80" s="24">
        <v>1</v>
      </c>
      <c r="L80" s="24" t="s">
        <v>15</v>
      </c>
    </row>
    <row r="81" spans="1:12" s="1" customFormat="1" ht="21.75" customHeight="1">
      <c r="A81" s="16" t="s">
        <v>102</v>
      </c>
      <c r="B81" s="36">
        <v>5520</v>
      </c>
      <c r="C81" s="36">
        <v>4692</v>
      </c>
      <c r="D81" s="90">
        <v>180</v>
      </c>
      <c r="E81" s="37">
        <v>0</v>
      </c>
      <c r="F81" s="20">
        <f t="shared" si="11"/>
        <v>648</v>
      </c>
      <c r="G81" s="61" t="s">
        <v>51</v>
      </c>
      <c r="H81" s="22">
        <f t="shared" si="12"/>
        <v>0.11739130434782609</v>
      </c>
      <c r="I81" s="24">
        <v>138</v>
      </c>
      <c r="J81" s="24">
        <v>0</v>
      </c>
      <c r="K81" s="24">
        <v>3</v>
      </c>
      <c r="L81" s="24" t="s">
        <v>13</v>
      </c>
    </row>
    <row r="82" spans="1:12" s="1" customFormat="1" ht="20.25">
      <c r="A82" s="16" t="s">
        <v>97</v>
      </c>
      <c r="B82" s="36">
        <v>8880</v>
      </c>
      <c r="C82" s="36">
        <v>7548</v>
      </c>
      <c r="D82" s="90">
        <v>500</v>
      </c>
      <c r="E82" s="37">
        <v>0</v>
      </c>
      <c r="F82" s="20">
        <f t="shared" si="11"/>
        <v>832</v>
      </c>
      <c r="G82" s="61" t="s">
        <v>51</v>
      </c>
      <c r="H82" s="22">
        <f t="shared" si="12"/>
        <v>9.3693693693693694E-2</v>
      </c>
      <c r="I82" s="24">
        <v>222</v>
      </c>
      <c r="J82" s="24">
        <v>0</v>
      </c>
      <c r="K82" s="24">
        <v>5</v>
      </c>
      <c r="L82" s="24" t="s">
        <v>103</v>
      </c>
    </row>
    <row r="83" spans="1:12" ht="20.25">
      <c r="A83" s="26" t="s">
        <v>88</v>
      </c>
      <c r="B83" s="36">
        <v>880</v>
      </c>
      <c r="C83" s="36">
        <v>726</v>
      </c>
      <c r="D83" s="90">
        <v>0</v>
      </c>
      <c r="E83" s="37">
        <v>0</v>
      </c>
      <c r="F83" s="20">
        <f t="shared" si="11"/>
        <v>154</v>
      </c>
      <c r="G83" s="61" t="s">
        <v>51</v>
      </c>
      <c r="H83" s="22">
        <f t="shared" si="12"/>
        <v>0.17499999999999999</v>
      </c>
      <c r="I83" s="23">
        <v>22</v>
      </c>
      <c r="J83" s="24">
        <v>0</v>
      </c>
      <c r="K83" s="23">
        <v>2</v>
      </c>
      <c r="L83" s="23" t="s">
        <v>104</v>
      </c>
    </row>
    <row r="84" spans="1:12" ht="20.25">
      <c r="A84" s="26" t="s">
        <v>105</v>
      </c>
      <c r="B84" s="36">
        <v>2360</v>
      </c>
      <c r="C84" s="36">
        <v>2006</v>
      </c>
      <c r="D84" s="90">
        <v>0</v>
      </c>
      <c r="E84" s="37">
        <v>0</v>
      </c>
      <c r="F84" s="20">
        <f t="shared" si="11"/>
        <v>354</v>
      </c>
      <c r="G84" s="61" t="s">
        <v>51</v>
      </c>
      <c r="H84" s="22">
        <f t="shared" si="12"/>
        <v>0.15</v>
      </c>
      <c r="I84" s="23">
        <v>59</v>
      </c>
      <c r="J84" s="24">
        <v>0</v>
      </c>
      <c r="K84" s="23">
        <v>3</v>
      </c>
      <c r="L84" s="23" t="s">
        <v>106</v>
      </c>
    </row>
    <row r="85" spans="1:12" ht="20.25">
      <c r="A85" s="26" t="s">
        <v>105</v>
      </c>
      <c r="B85" s="36">
        <v>210</v>
      </c>
      <c r="C85" s="36">
        <v>168</v>
      </c>
      <c r="D85" s="90">
        <v>0</v>
      </c>
      <c r="E85" s="37">
        <v>0</v>
      </c>
      <c r="F85" s="20">
        <f t="shared" si="11"/>
        <v>42</v>
      </c>
      <c r="G85" s="61" t="s">
        <v>51</v>
      </c>
      <c r="H85" s="22">
        <f t="shared" si="12"/>
        <v>0.2</v>
      </c>
      <c r="I85" s="23">
        <v>7</v>
      </c>
      <c r="J85" s="24">
        <v>0</v>
      </c>
      <c r="K85" s="23">
        <v>3</v>
      </c>
      <c r="L85" s="23" t="s">
        <v>107</v>
      </c>
    </row>
    <row r="86" spans="1:12" s="1" customFormat="1" ht="20.25">
      <c r="A86" s="16" t="s">
        <v>59</v>
      </c>
      <c r="B86" s="36">
        <v>6150</v>
      </c>
      <c r="C86" s="97">
        <v>9000</v>
      </c>
      <c r="D86" s="90">
        <v>900</v>
      </c>
      <c r="E86" s="37">
        <v>0</v>
      </c>
      <c r="F86" s="98">
        <f t="shared" si="11"/>
        <v>-3750</v>
      </c>
      <c r="G86" s="61" t="s">
        <v>51</v>
      </c>
      <c r="H86" s="99">
        <f t="shared" si="12"/>
        <v>-0.6097560975609756</v>
      </c>
      <c r="I86" s="24">
        <v>205</v>
      </c>
      <c r="J86" s="24">
        <v>0</v>
      </c>
      <c r="K86" s="24">
        <v>10</v>
      </c>
      <c r="L86" s="24" t="s">
        <v>137</v>
      </c>
    </row>
    <row r="87" spans="1:12" s="1" customFormat="1" ht="21" thickBot="1">
      <c r="A87" s="16" t="s">
        <v>108</v>
      </c>
      <c r="B87" s="36">
        <v>4290</v>
      </c>
      <c r="C87" s="36">
        <v>3575</v>
      </c>
      <c r="D87" s="90">
        <v>0</v>
      </c>
      <c r="E87" s="37">
        <v>0</v>
      </c>
      <c r="F87" s="20">
        <f t="shared" si="11"/>
        <v>715</v>
      </c>
      <c r="G87" s="61" t="s">
        <v>51</v>
      </c>
      <c r="H87" s="22">
        <f t="shared" si="12"/>
        <v>0.16666666666666666</v>
      </c>
      <c r="I87" s="24">
        <v>143</v>
      </c>
      <c r="J87" s="24">
        <v>0</v>
      </c>
      <c r="K87" s="24">
        <v>8</v>
      </c>
      <c r="L87" s="24" t="s">
        <v>107</v>
      </c>
    </row>
    <row r="88" spans="1:12" s="1" customFormat="1" ht="21" thickBot="1">
      <c r="A88" s="16" t="s">
        <v>109</v>
      </c>
      <c r="B88" s="36">
        <v>920</v>
      </c>
      <c r="C88" s="36">
        <v>759</v>
      </c>
      <c r="D88" s="90">
        <v>180</v>
      </c>
      <c r="E88" s="37">
        <v>0</v>
      </c>
      <c r="F88" s="20">
        <f t="shared" si="11"/>
        <v>-19</v>
      </c>
      <c r="G88" s="61" t="s">
        <v>51</v>
      </c>
      <c r="H88" s="22">
        <f t="shared" si="12"/>
        <v>-2.0652173913043477E-2</v>
      </c>
      <c r="I88" s="24">
        <v>23</v>
      </c>
      <c r="J88" s="24">
        <v>0</v>
      </c>
      <c r="K88" s="24">
        <v>3</v>
      </c>
      <c r="L88" s="24" t="s">
        <v>110</v>
      </c>
    </row>
    <row r="89" spans="1:12" s="1" customFormat="1" ht="20.25">
      <c r="A89" s="16" t="s">
        <v>111</v>
      </c>
      <c r="B89" s="36">
        <v>640</v>
      </c>
      <c r="C89" s="36">
        <v>528</v>
      </c>
      <c r="D89" s="90">
        <v>0</v>
      </c>
      <c r="E89" s="37">
        <v>0</v>
      </c>
      <c r="F89" s="20">
        <f t="shared" si="11"/>
        <v>112</v>
      </c>
      <c r="G89" s="61" t="s">
        <v>51</v>
      </c>
      <c r="H89" s="22">
        <f t="shared" si="12"/>
        <v>0.17499999999999999</v>
      </c>
      <c r="I89" s="24">
        <v>16</v>
      </c>
      <c r="J89" s="24">
        <v>0</v>
      </c>
      <c r="K89" s="24">
        <v>7</v>
      </c>
      <c r="L89" s="24" t="s">
        <v>112</v>
      </c>
    </row>
    <row r="90" spans="1:12" s="1" customFormat="1" ht="20.25">
      <c r="A90" s="16" t="s">
        <v>113</v>
      </c>
      <c r="B90" s="36">
        <v>1280</v>
      </c>
      <c r="C90" s="36">
        <v>1088</v>
      </c>
      <c r="D90" s="90">
        <v>0</v>
      </c>
      <c r="E90" s="37">
        <v>0</v>
      </c>
      <c r="F90" s="20">
        <f t="shared" si="11"/>
        <v>192</v>
      </c>
      <c r="G90" s="61" t="s">
        <v>51</v>
      </c>
      <c r="H90" s="22">
        <f t="shared" si="12"/>
        <v>0.15</v>
      </c>
      <c r="I90" s="24">
        <v>32</v>
      </c>
      <c r="J90" s="24">
        <v>0</v>
      </c>
      <c r="K90" s="24">
        <v>3</v>
      </c>
      <c r="L90" s="24" t="s">
        <v>23</v>
      </c>
    </row>
    <row r="91" spans="1:12" s="1" customFormat="1" ht="20.25">
      <c r="A91" s="16" t="s">
        <v>114</v>
      </c>
      <c r="B91" s="36">
        <v>3600</v>
      </c>
      <c r="C91" s="36">
        <v>3060</v>
      </c>
      <c r="D91" s="90">
        <v>300</v>
      </c>
      <c r="E91" s="37">
        <v>0</v>
      </c>
      <c r="F91" s="20">
        <f t="shared" si="11"/>
        <v>240</v>
      </c>
      <c r="G91" s="61" t="s">
        <v>51</v>
      </c>
      <c r="H91" s="22">
        <f t="shared" si="12"/>
        <v>6.6666666666666666E-2</v>
      </c>
      <c r="I91" s="24">
        <v>90</v>
      </c>
      <c r="J91" s="24">
        <v>0</v>
      </c>
      <c r="K91" s="24">
        <v>3</v>
      </c>
      <c r="L91" s="24" t="s">
        <v>23</v>
      </c>
    </row>
    <row r="92" spans="1:12" s="1" customFormat="1" ht="20.25">
      <c r="A92" s="16" t="s">
        <v>35</v>
      </c>
      <c r="B92" s="36">
        <v>1080</v>
      </c>
      <c r="C92" s="36">
        <v>918</v>
      </c>
      <c r="D92" s="90">
        <v>100</v>
      </c>
      <c r="E92" s="37">
        <v>0</v>
      </c>
      <c r="F92" s="20">
        <f t="shared" si="11"/>
        <v>62</v>
      </c>
      <c r="G92" s="61" t="s">
        <v>51</v>
      </c>
      <c r="H92" s="22">
        <f t="shared" si="12"/>
        <v>5.7407407407407407E-2</v>
      </c>
      <c r="I92" s="24">
        <v>27</v>
      </c>
      <c r="J92" s="24">
        <v>0</v>
      </c>
      <c r="K92" s="24">
        <v>1</v>
      </c>
      <c r="L92" s="24" t="s">
        <v>115</v>
      </c>
    </row>
    <row r="93" spans="1:12" s="1" customFormat="1" ht="20.25">
      <c r="A93" s="16" t="s">
        <v>116</v>
      </c>
      <c r="B93" s="36">
        <v>2160</v>
      </c>
      <c r="C93" s="97">
        <v>2720</v>
      </c>
      <c r="D93" s="90">
        <v>0</v>
      </c>
      <c r="E93" s="37">
        <v>0</v>
      </c>
      <c r="F93" s="98">
        <f t="shared" si="11"/>
        <v>-560</v>
      </c>
      <c r="G93" s="61" t="s">
        <v>51</v>
      </c>
      <c r="H93" s="99">
        <f t="shared" si="12"/>
        <v>-0.25925925925925924</v>
      </c>
      <c r="I93" s="24">
        <v>54</v>
      </c>
      <c r="J93" s="24">
        <v>0</v>
      </c>
      <c r="K93" s="24">
        <v>2</v>
      </c>
      <c r="L93" s="24" t="s">
        <v>117</v>
      </c>
    </row>
    <row r="94" spans="1:12" s="1" customFormat="1" ht="20.25">
      <c r="A94" s="16" t="s">
        <v>118</v>
      </c>
      <c r="B94" s="36">
        <v>1440</v>
      </c>
      <c r="C94" s="36">
        <v>1224</v>
      </c>
      <c r="D94" s="90">
        <v>100</v>
      </c>
      <c r="E94" s="37">
        <v>0</v>
      </c>
      <c r="F94" s="20">
        <f t="shared" si="11"/>
        <v>116</v>
      </c>
      <c r="G94" s="61" t="s">
        <v>51</v>
      </c>
      <c r="H94" s="22">
        <f t="shared" si="12"/>
        <v>8.0555555555555561E-2</v>
      </c>
      <c r="I94" s="24">
        <v>36</v>
      </c>
      <c r="J94" s="24">
        <v>0</v>
      </c>
      <c r="K94" s="76">
        <v>1</v>
      </c>
      <c r="L94" s="24" t="s">
        <v>119</v>
      </c>
    </row>
    <row r="95" spans="1:12" s="1" customFormat="1" ht="20.25">
      <c r="A95" s="16" t="s">
        <v>120</v>
      </c>
      <c r="B95" s="36">
        <v>1960</v>
      </c>
      <c r="C95" s="36">
        <v>1666</v>
      </c>
      <c r="D95" s="90">
        <v>0</v>
      </c>
      <c r="E95" s="37">
        <v>0</v>
      </c>
      <c r="F95" s="20">
        <f t="shared" si="11"/>
        <v>294</v>
      </c>
      <c r="G95" s="61" t="s">
        <v>51</v>
      </c>
      <c r="H95" s="22">
        <f t="shared" si="12"/>
        <v>0.15</v>
      </c>
      <c r="I95" s="24">
        <v>49</v>
      </c>
      <c r="J95" s="24">
        <v>0</v>
      </c>
      <c r="K95" s="76">
        <v>5</v>
      </c>
      <c r="L95" s="24" t="s">
        <v>121</v>
      </c>
    </row>
    <row r="96" spans="1:12" s="1" customFormat="1" ht="20.25">
      <c r="A96" s="16" t="s">
        <v>122</v>
      </c>
      <c r="B96" s="36">
        <v>5200</v>
      </c>
      <c r="C96" s="97">
        <v>5940</v>
      </c>
      <c r="D96" s="90">
        <v>1200</v>
      </c>
      <c r="E96" s="37">
        <v>0</v>
      </c>
      <c r="F96" s="98">
        <f t="shared" si="11"/>
        <v>-1940</v>
      </c>
      <c r="G96" s="93" t="s">
        <v>51</v>
      </c>
      <c r="H96" s="99">
        <f t="shared" si="12"/>
        <v>-0.37307692307692308</v>
      </c>
      <c r="I96" s="24">
        <v>130</v>
      </c>
      <c r="J96" s="24">
        <v>0</v>
      </c>
      <c r="K96" s="76">
        <v>3</v>
      </c>
      <c r="L96" s="24" t="s">
        <v>123</v>
      </c>
    </row>
    <row r="97" spans="1:50" s="1" customFormat="1" ht="20.25">
      <c r="A97" s="16" t="s">
        <v>72</v>
      </c>
      <c r="B97" s="36">
        <v>7360</v>
      </c>
      <c r="C97" s="36">
        <v>6256</v>
      </c>
      <c r="D97" s="90">
        <v>1200</v>
      </c>
      <c r="E97" s="37">
        <v>0</v>
      </c>
      <c r="F97" s="98">
        <f t="shared" si="11"/>
        <v>-96</v>
      </c>
      <c r="G97" s="61" t="s">
        <v>51</v>
      </c>
      <c r="H97" s="99">
        <f t="shared" si="12"/>
        <v>-1.3043478260869565E-2</v>
      </c>
      <c r="I97" s="24">
        <v>184</v>
      </c>
      <c r="J97" s="24">
        <v>0</v>
      </c>
      <c r="K97" s="76">
        <v>8</v>
      </c>
      <c r="L97" s="24" t="s">
        <v>124</v>
      </c>
    </row>
    <row r="98" spans="1:50" s="1" customFormat="1" ht="21" thickBot="1">
      <c r="A98" s="16" t="s">
        <v>92</v>
      </c>
      <c r="B98" s="36">
        <v>2520</v>
      </c>
      <c r="C98" s="97">
        <v>3000</v>
      </c>
      <c r="D98" s="90">
        <v>250</v>
      </c>
      <c r="E98" s="37">
        <v>0</v>
      </c>
      <c r="F98" s="98">
        <f t="shared" si="11"/>
        <v>-730</v>
      </c>
      <c r="G98" s="61" t="s">
        <v>51</v>
      </c>
      <c r="H98" s="99">
        <f t="shared" si="12"/>
        <v>-0.28968253968253971</v>
      </c>
      <c r="I98" s="24">
        <v>63</v>
      </c>
      <c r="J98" s="24">
        <v>0</v>
      </c>
      <c r="K98" s="76">
        <v>1</v>
      </c>
      <c r="L98" s="24" t="s">
        <v>125</v>
      </c>
    </row>
    <row r="99" spans="1:50" s="1" customFormat="1" ht="21" thickBot="1">
      <c r="A99" s="94" t="s">
        <v>126</v>
      </c>
      <c r="B99" s="36">
        <v>520</v>
      </c>
      <c r="C99" s="36">
        <v>442</v>
      </c>
      <c r="D99" s="90">
        <v>200</v>
      </c>
      <c r="E99" s="37">
        <v>0</v>
      </c>
      <c r="F99" s="98">
        <f t="shared" si="11"/>
        <v>-122</v>
      </c>
      <c r="G99" s="93" t="s">
        <v>51</v>
      </c>
      <c r="H99" s="99">
        <f t="shared" si="12"/>
        <v>-0.23461538461538461</v>
      </c>
      <c r="I99" s="24">
        <v>13</v>
      </c>
      <c r="J99" s="24">
        <v>0</v>
      </c>
      <c r="K99" s="76">
        <v>2</v>
      </c>
      <c r="L99" s="92" t="s">
        <v>127</v>
      </c>
    </row>
    <row r="100" spans="1:50" s="1" customFormat="1" ht="21" thickBot="1">
      <c r="A100" s="94" t="s">
        <v>30</v>
      </c>
      <c r="B100" s="36">
        <v>520</v>
      </c>
      <c r="C100" s="36">
        <v>442</v>
      </c>
      <c r="D100" s="90">
        <v>100</v>
      </c>
      <c r="E100" s="37">
        <v>0</v>
      </c>
      <c r="F100" s="98">
        <f t="shared" si="11"/>
        <v>-22</v>
      </c>
      <c r="G100" s="93" t="s">
        <v>51</v>
      </c>
      <c r="H100" s="99">
        <f t="shared" si="12"/>
        <v>-4.230769230769231E-2</v>
      </c>
      <c r="I100" s="24">
        <v>13</v>
      </c>
      <c r="J100" s="24">
        <v>0</v>
      </c>
      <c r="K100" s="76">
        <v>1</v>
      </c>
      <c r="L100" s="92" t="s">
        <v>128</v>
      </c>
    </row>
    <row r="101" spans="1:50">
      <c r="K101" s="96"/>
    </row>
    <row r="102" spans="1:50" ht="24" hidden="1" thickBot="1">
      <c r="G102" s="79"/>
      <c r="H102" s="79"/>
      <c r="I102" s="78">
        <f>SUM(I4:I100)</f>
        <v>1831</v>
      </c>
      <c r="J102" s="78">
        <v>0</v>
      </c>
      <c r="K102" s="80"/>
      <c r="L102" s="81"/>
    </row>
    <row r="103" spans="1:50" hidden="1"/>
    <row r="110" spans="1:50" s="5" customFormat="1" ht="23.25">
      <c r="A110" s="6"/>
      <c r="B110" s="7"/>
      <c r="C110" s="7"/>
      <c r="D110"/>
      <c r="E110"/>
      <c r="F110"/>
      <c r="G110"/>
      <c r="H110"/>
      <c r="I110"/>
      <c r="J110"/>
      <c r="K110" s="8"/>
      <c r="L110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</row>
  </sheetData>
  <mergeCells count="6">
    <mergeCell ref="K58:K65"/>
    <mergeCell ref="K71:K72"/>
    <mergeCell ref="K35:L35"/>
    <mergeCell ref="K21:K26"/>
    <mergeCell ref="K43:K48"/>
    <mergeCell ref="K51:K55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DAST22</dc:creator>
  <cp:lastModifiedBy>Gabriela Gabino</cp:lastModifiedBy>
  <dcterms:created xsi:type="dcterms:W3CDTF">2025-02-04T14:57:00Z</dcterms:created>
  <dcterms:modified xsi:type="dcterms:W3CDTF">2026-07-06T13:52:12Z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D5DAAE4977954A31AFA68655F73E3DE2_13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